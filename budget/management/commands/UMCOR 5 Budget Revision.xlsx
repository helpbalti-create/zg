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2E19C85-2F9B-411D-9247-AA50729A694D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XXXX" sheetId="17" state="hidden" r:id="rId1"/>
    <sheet name="XXXXX" sheetId="27" state="hidden" r:id="rId2"/>
    <sheet name="XXXXFinRep" sheetId="26" state="hidden" r:id="rId3"/>
    <sheet name="REQ ZG UMCOR 4 _RU" sheetId="45" r:id="rId4"/>
  </sheets>
  <definedNames>
    <definedName name="_xlnm.Print_Titles" localSheetId="2">XXXXFinRep!$2:$18</definedName>
    <definedName name="_xlnm.Print_Area" localSheetId="0">XXXX!$A$1:$C$46</definedName>
    <definedName name="_xlnm.Print_Area" localSheetId="2">XXXXFinRep!$B$2:$I$295</definedName>
    <definedName name="_xlnm.Print_Area" localSheetId="1">XXXXX!$A$1:$D$48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45" l="1"/>
  <c r="H39" i="45" l="1"/>
  <c r="H38" i="45" l="1"/>
  <c r="H31" i="45"/>
  <c r="H131" i="45"/>
  <c r="H130" i="45"/>
  <c r="H129" i="45"/>
  <c r="H128" i="45"/>
  <c r="H127" i="45"/>
  <c r="H126" i="45"/>
  <c r="H125" i="45"/>
  <c r="H124" i="45"/>
  <c r="H123" i="45"/>
  <c r="H122" i="45"/>
  <c r="H114" i="45"/>
  <c r="H113" i="45"/>
  <c r="H112" i="45"/>
  <c r="H108" i="45"/>
  <c r="H107" i="45"/>
  <c r="H103" i="45"/>
  <c r="H102" i="45"/>
  <c r="H101" i="45"/>
  <c r="H100" i="45"/>
  <c r="H99" i="45"/>
  <c r="H94" i="45"/>
  <c r="H93" i="45"/>
  <c r="H89" i="45"/>
  <c r="H88" i="45"/>
  <c r="H84" i="45"/>
  <c r="H83" i="45"/>
  <c r="H82" i="45"/>
  <c r="H72" i="45"/>
  <c r="H71" i="45"/>
  <c r="H70" i="45"/>
  <c r="H67" i="45"/>
  <c r="H66" i="45"/>
  <c r="H64" i="45"/>
  <c r="H57" i="45"/>
  <c r="H50" i="45"/>
  <c r="H49" i="45"/>
  <c r="H48" i="45"/>
  <c r="H47" i="45"/>
  <c r="H46" i="45"/>
  <c r="H37" i="45"/>
  <c r="H36" i="45"/>
  <c r="H35" i="45"/>
  <c r="H34" i="45"/>
  <c r="H33" i="45"/>
  <c r="H32" i="45"/>
  <c r="H30" i="45"/>
  <c r="H29" i="45"/>
  <c r="H40" i="45" l="1"/>
  <c r="H104" i="45"/>
  <c r="H58" i="45"/>
  <c r="H109" i="45"/>
  <c r="H115" i="45"/>
  <c r="N47" i="45"/>
  <c r="H73" i="45"/>
  <c r="H51" i="45"/>
  <c r="H85" i="45"/>
  <c r="H90" i="45"/>
  <c r="H68" i="45"/>
  <c r="H95" i="45"/>
  <c r="H132" i="45"/>
  <c r="H15" i="45" s="1"/>
  <c r="H117" i="45" l="1"/>
  <c r="H75" i="45"/>
  <c r="H60" i="45"/>
  <c r="C25" i="27"/>
  <c r="C24" i="27"/>
  <c r="C23" i="27"/>
  <c r="C22" i="27"/>
  <c r="C21" i="27"/>
  <c r="B25" i="17"/>
  <c r="B24" i="17"/>
  <c r="B23" i="17"/>
  <c r="B22" i="17"/>
  <c r="B21" i="17"/>
  <c r="H77" i="45" l="1"/>
  <c r="H119" i="45" s="1"/>
  <c r="H134" i="45" s="1"/>
  <c r="H16" i="45" s="1"/>
  <c r="C12" i="17"/>
  <c r="C11" i="17"/>
  <c r="C10" i="17"/>
  <c r="C9" i="17"/>
  <c r="C8" i="17"/>
  <c r="C126" i="26"/>
  <c r="C103" i="26"/>
  <c r="C80" i="26"/>
  <c r="C57" i="26"/>
  <c r="C34" i="26"/>
  <c r="D7" i="26"/>
  <c r="C7" i="26"/>
  <c r="B5" i="26"/>
  <c r="B4" i="26"/>
  <c r="B2" i="26"/>
  <c r="G9" i="26"/>
  <c r="G16" i="26" s="1"/>
  <c r="F9" i="26"/>
  <c r="F16" i="26" s="1"/>
  <c r="E9" i="26"/>
  <c r="E16" i="26" s="1"/>
  <c r="H15" i="26"/>
  <c r="H14" i="26"/>
  <c r="I14" i="26" s="1"/>
  <c r="H13" i="26"/>
  <c r="I13" i="26" s="1"/>
  <c r="H12" i="26"/>
  <c r="I12" i="26" s="1"/>
  <c r="H11" i="26"/>
  <c r="I11" i="26" s="1"/>
  <c r="H10" i="26"/>
  <c r="I10" i="26" s="1"/>
  <c r="A4" i="27"/>
  <c r="A3" i="27"/>
  <c r="A1" i="27"/>
  <c r="B288" i="26"/>
  <c r="C288" i="26" s="1"/>
  <c r="B287" i="26"/>
  <c r="C287" i="26" s="1"/>
  <c r="B286" i="26"/>
  <c r="C286" i="26" s="1"/>
  <c r="B285" i="26"/>
  <c r="C285" i="26" s="1"/>
  <c r="B284" i="26"/>
  <c r="C284" i="26" s="1"/>
  <c r="B283" i="26"/>
  <c r="C283" i="26" s="1"/>
  <c r="B282" i="26"/>
  <c r="C282" i="26" s="1"/>
  <c r="B281" i="26"/>
  <c r="C281" i="26" s="1"/>
  <c r="B280" i="26"/>
  <c r="C280" i="26" s="1"/>
  <c r="B279" i="26"/>
  <c r="C279" i="26" s="1"/>
  <c r="B271" i="26"/>
  <c r="C271" i="26" s="1"/>
  <c r="B270" i="26"/>
  <c r="C270" i="26" s="1"/>
  <c r="B269" i="26"/>
  <c r="C269" i="26" s="1"/>
  <c r="B268" i="26"/>
  <c r="C268" i="26" s="1"/>
  <c r="B267" i="26"/>
  <c r="C267" i="26" s="1"/>
  <c r="B266" i="26"/>
  <c r="C266" i="26" s="1"/>
  <c r="B265" i="26"/>
  <c r="C265" i="26" s="1"/>
  <c r="B264" i="26"/>
  <c r="C264" i="26" s="1"/>
  <c r="B263" i="26"/>
  <c r="C263" i="26" s="1"/>
  <c r="B262" i="26"/>
  <c r="C262" i="26" s="1"/>
  <c r="B258" i="26"/>
  <c r="C258" i="26" s="1"/>
  <c r="B257" i="26"/>
  <c r="C257" i="26" s="1"/>
  <c r="B256" i="26"/>
  <c r="C256" i="26" s="1"/>
  <c r="B255" i="26"/>
  <c r="C255" i="26" s="1"/>
  <c r="B254" i="26"/>
  <c r="C254" i="26" s="1"/>
  <c r="B253" i="26"/>
  <c r="C253" i="26" s="1"/>
  <c r="B252" i="26"/>
  <c r="C252" i="26" s="1"/>
  <c r="B251" i="26"/>
  <c r="C251" i="26" s="1"/>
  <c r="B250" i="26"/>
  <c r="C250" i="26" s="1"/>
  <c r="B249" i="26"/>
  <c r="C249" i="26" s="1"/>
  <c r="B245" i="26"/>
  <c r="C245" i="26" s="1"/>
  <c r="B244" i="26"/>
  <c r="C244" i="26" s="1"/>
  <c r="B243" i="26"/>
  <c r="C243" i="26" s="1"/>
  <c r="B242" i="26"/>
  <c r="C242" i="26" s="1"/>
  <c r="B241" i="26"/>
  <c r="C241" i="26" s="1"/>
  <c r="B240" i="26"/>
  <c r="C240" i="26" s="1"/>
  <c r="B239" i="26"/>
  <c r="C239" i="26" s="1"/>
  <c r="B238" i="26"/>
  <c r="C238" i="26" s="1"/>
  <c r="B237" i="26"/>
  <c r="C237" i="26" s="1"/>
  <c r="B236" i="26"/>
  <c r="C236" i="26" s="1"/>
  <c r="B233" i="26"/>
  <c r="C233" i="26" s="1"/>
  <c r="B232" i="26"/>
  <c r="C232" i="26" s="1"/>
  <c r="B231" i="26"/>
  <c r="C231" i="26" s="1"/>
  <c r="B230" i="26"/>
  <c r="C230" i="26" s="1"/>
  <c r="B229" i="26"/>
  <c r="C229" i="26" s="1"/>
  <c r="B228" i="26"/>
  <c r="C228" i="26" s="1"/>
  <c r="B227" i="26"/>
  <c r="C227" i="26" s="1"/>
  <c r="B226" i="26"/>
  <c r="C226" i="26" s="1"/>
  <c r="B225" i="26"/>
  <c r="C225" i="26" s="1"/>
  <c r="B224" i="26"/>
  <c r="C224" i="26" s="1"/>
  <c r="B219" i="26"/>
  <c r="C219" i="26" s="1"/>
  <c r="B218" i="26"/>
  <c r="C218" i="26" s="1"/>
  <c r="B217" i="26"/>
  <c r="C217" i="26" s="1"/>
  <c r="B216" i="26"/>
  <c r="C216" i="26" s="1"/>
  <c r="B215" i="26"/>
  <c r="C215" i="26" s="1"/>
  <c r="B214" i="26"/>
  <c r="C214" i="26" s="1"/>
  <c r="B213" i="26"/>
  <c r="C213" i="26" s="1"/>
  <c r="B212" i="26"/>
  <c r="C212" i="26" s="1"/>
  <c r="B211" i="26"/>
  <c r="C211" i="26" s="1"/>
  <c r="B210" i="26"/>
  <c r="C210" i="26" s="1"/>
  <c r="B206" i="26"/>
  <c r="C206" i="26" s="1"/>
  <c r="B205" i="26"/>
  <c r="C205" i="26" s="1"/>
  <c r="B204" i="26"/>
  <c r="C204" i="26" s="1"/>
  <c r="B203" i="26"/>
  <c r="C203" i="26" s="1"/>
  <c r="B202" i="26"/>
  <c r="C202" i="26" s="1"/>
  <c r="B201" i="26"/>
  <c r="C201" i="26" s="1"/>
  <c r="B200" i="26"/>
  <c r="C200" i="26" s="1"/>
  <c r="B199" i="26"/>
  <c r="C199" i="26" s="1"/>
  <c r="B198" i="26"/>
  <c r="C198" i="26" s="1"/>
  <c r="B197" i="26"/>
  <c r="C197" i="26" s="1"/>
  <c r="B193" i="26"/>
  <c r="C193" i="26" s="1"/>
  <c r="B192" i="26"/>
  <c r="C192" i="26" s="1"/>
  <c r="B191" i="26"/>
  <c r="C191" i="26" s="1"/>
  <c r="B190" i="26"/>
  <c r="C190" i="26" s="1"/>
  <c r="B189" i="26"/>
  <c r="C189" i="26" s="1"/>
  <c r="B188" i="26"/>
  <c r="C188" i="26" s="1"/>
  <c r="B187" i="26"/>
  <c r="C187" i="26" s="1"/>
  <c r="B186" i="26"/>
  <c r="C186" i="26" s="1"/>
  <c r="B185" i="26"/>
  <c r="C185" i="26" s="1"/>
  <c r="B184" i="26"/>
  <c r="C184" i="26" s="1"/>
  <c r="B174" i="26"/>
  <c r="C174" i="26" s="1"/>
  <c r="B173" i="26"/>
  <c r="C173" i="26" s="1"/>
  <c r="B172" i="26"/>
  <c r="C172" i="26" s="1"/>
  <c r="B171" i="26"/>
  <c r="C171" i="26" s="1"/>
  <c r="B170" i="26"/>
  <c r="C170" i="26" s="1"/>
  <c r="B169" i="26"/>
  <c r="C169" i="26" s="1"/>
  <c r="B168" i="26"/>
  <c r="C168" i="26" s="1"/>
  <c r="B167" i="26"/>
  <c r="C167" i="26" s="1"/>
  <c r="B166" i="26"/>
  <c r="C166" i="26" s="1"/>
  <c r="B165" i="26"/>
  <c r="C165" i="26" s="1"/>
  <c r="B162" i="26"/>
  <c r="C162" i="26" s="1"/>
  <c r="B161" i="26"/>
  <c r="C161" i="26" s="1"/>
  <c r="B160" i="26"/>
  <c r="C160" i="26" s="1"/>
  <c r="B159" i="26"/>
  <c r="C159" i="26" s="1"/>
  <c r="B158" i="26"/>
  <c r="C158" i="26" s="1"/>
  <c r="B157" i="26"/>
  <c r="C157" i="26" s="1"/>
  <c r="B156" i="26"/>
  <c r="C156" i="26" s="1"/>
  <c r="B155" i="26"/>
  <c r="C155" i="26" s="1"/>
  <c r="B154" i="26"/>
  <c r="C154" i="26" s="1"/>
  <c r="B153" i="26"/>
  <c r="C153" i="26" s="1"/>
  <c r="B146" i="26"/>
  <c r="C146" i="26" s="1"/>
  <c r="B145" i="26"/>
  <c r="C145" i="26" s="1"/>
  <c r="B144" i="26"/>
  <c r="C144" i="26" s="1"/>
  <c r="B143" i="26"/>
  <c r="C143" i="26" s="1"/>
  <c r="B142" i="26"/>
  <c r="C142" i="26" s="1"/>
  <c r="B141" i="26"/>
  <c r="C141" i="26" s="1"/>
  <c r="B140" i="26"/>
  <c r="C140" i="26" s="1"/>
  <c r="B139" i="26"/>
  <c r="C139" i="26" s="1"/>
  <c r="B138" i="26"/>
  <c r="C138" i="26" s="1"/>
  <c r="B137" i="26"/>
  <c r="C137" i="26" s="1"/>
  <c r="B136" i="26"/>
  <c r="C136" i="26" s="1"/>
  <c r="B135" i="26"/>
  <c r="C135" i="26" s="1"/>
  <c r="B134" i="26"/>
  <c r="C134" i="26" s="1"/>
  <c r="B133" i="26"/>
  <c r="C133" i="26" s="1"/>
  <c r="B132" i="26"/>
  <c r="C132" i="26" s="1"/>
  <c r="B131" i="26"/>
  <c r="C131" i="26" s="1"/>
  <c r="B130" i="26"/>
  <c r="C130" i="26" s="1"/>
  <c r="B129" i="26"/>
  <c r="C129" i="26" s="1"/>
  <c r="B128" i="26"/>
  <c r="C128" i="26" s="1"/>
  <c r="B127" i="26"/>
  <c r="C127" i="26" s="1"/>
  <c r="B123" i="26"/>
  <c r="C123" i="26" s="1"/>
  <c r="B122" i="26"/>
  <c r="C122" i="26" s="1"/>
  <c r="B121" i="26"/>
  <c r="C121" i="26" s="1"/>
  <c r="B120" i="26"/>
  <c r="C120" i="26" s="1"/>
  <c r="B119" i="26"/>
  <c r="C119" i="26" s="1"/>
  <c r="B118" i="26"/>
  <c r="C118" i="26" s="1"/>
  <c r="B117" i="26"/>
  <c r="C117" i="26" s="1"/>
  <c r="B116" i="26"/>
  <c r="C116" i="26" s="1"/>
  <c r="B115" i="26"/>
  <c r="C115" i="26" s="1"/>
  <c r="B114" i="26"/>
  <c r="C114" i="26" s="1"/>
  <c r="B113" i="26"/>
  <c r="C113" i="26" s="1"/>
  <c r="B112" i="26"/>
  <c r="C112" i="26" s="1"/>
  <c r="B111" i="26"/>
  <c r="C111" i="26" s="1"/>
  <c r="B110" i="26"/>
  <c r="C110" i="26" s="1"/>
  <c r="B109" i="26"/>
  <c r="C109" i="26" s="1"/>
  <c r="B108" i="26"/>
  <c r="C108" i="26" s="1"/>
  <c r="B107" i="26"/>
  <c r="C107" i="26" s="1"/>
  <c r="B106" i="26"/>
  <c r="C106" i="26" s="1"/>
  <c r="B105" i="26"/>
  <c r="C105" i="26" s="1"/>
  <c r="B104" i="26"/>
  <c r="C104" i="26" s="1"/>
  <c r="B100" i="26"/>
  <c r="C100" i="26" s="1"/>
  <c r="B99" i="26"/>
  <c r="C99" i="26" s="1"/>
  <c r="B98" i="26"/>
  <c r="C98" i="26" s="1"/>
  <c r="B97" i="26"/>
  <c r="C97" i="26" s="1"/>
  <c r="B96" i="26"/>
  <c r="C96" i="26" s="1"/>
  <c r="B95" i="26"/>
  <c r="C95" i="26" s="1"/>
  <c r="B94" i="26"/>
  <c r="C94" i="26" s="1"/>
  <c r="B93" i="26"/>
  <c r="C93" i="26" s="1"/>
  <c r="B92" i="26"/>
  <c r="C92" i="26" s="1"/>
  <c r="B91" i="26"/>
  <c r="C91" i="26" s="1"/>
  <c r="B90" i="26"/>
  <c r="C90" i="26" s="1"/>
  <c r="B89" i="26"/>
  <c r="C89" i="26" s="1"/>
  <c r="B88" i="26"/>
  <c r="C88" i="26" s="1"/>
  <c r="B87" i="26"/>
  <c r="C87" i="26" s="1"/>
  <c r="B86" i="26"/>
  <c r="C86" i="26" s="1"/>
  <c r="B85" i="26"/>
  <c r="C85" i="26" s="1"/>
  <c r="B84" i="26"/>
  <c r="C84" i="26" s="1"/>
  <c r="B83" i="26"/>
  <c r="C83" i="26" s="1"/>
  <c r="B82" i="26"/>
  <c r="C82" i="26" s="1"/>
  <c r="B81" i="26"/>
  <c r="C81" i="26" s="1"/>
  <c r="B77" i="26"/>
  <c r="C77" i="26" s="1"/>
  <c r="B76" i="26"/>
  <c r="C76" i="26" s="1"/>
  <c r="B75" i="26"/>
  <c r="C75" i="26" s="1"/>
  <c r="B74" i="26"/>
  <c r="C74" i="26" s="1"/>
  <c r="B73" i="26"/>
  <c r="C73" i="26" s="1"/>
  <c r="B72" i="26"/>
  <c r="C72" i="26" s="1"/>
  <c r="B71" i="26"/>
  <c r="C71" i="26" s="1"/>
  <c r="B70" i="26"/>
  <c r="C70" i="26" s="1"/>
  <c r="B69" i="26"/>
  <c r="C69" i="26" s="1"/>
  <c r="B68" i="26"/>
  <c r="C68" i="26" s="1"/>
  <c r="B67" i="26"/>
  <c r="C67" i="26" s="1"/>
  <c r="B66" i="26"/>
  <c r="C66" i="26" s="1"/>
  <c r="B65" i="26"/>
  <c r="C65" i="26" s="1"/>
  <c r="B64" i="26"/>
  <c r="C64" i="26" s="1"/>
  <c r="B63" i="26"/>
  <c r="C63" i="26" s="1"/>
  <c r="B62" i="26"/>
  <c r="C62" i="26" s="1"/>
  <c r="B61" i="26"/>
  <c r="C61" i="26" s="1"/>
  <c r="B60" i="26"/>
  <c r="C60" i="26" s="1"/>
  <c r="B59" i="26"/>
  <c r="C59" i="26" s="1"/>
  <c r="B58" i="26"/>
  <c r="C58" i="26" s="1"/>
  <c r="B54" i="26"/>
  <c r="C54" i="26" s="1"/>
  <c r="B53" i="26"/>
  <c r="C53" i="26" s="1"/>
  <c r="B52" i="26"/>
  <c r="C52" i="26" s="1"/>
  <c r="B51" i="26"/>
  <c r="C51" i="26" s="1"/>
  <c r="B50" i="26"/>
  <c r="C50" i="26" s="1"/>
  <c r="B49" i="26"/>
  <c r="C49" i="26" s="1"/>
  <c r="B48" i="26"/>
  <c r="C48" i="26" s="1"/>
  <c r="B47" i="26"/>
  <c r="C47" i="26" s="1"/>
  <c r="B46" i="26"/>
  <c r="C46" i="26" s="1"/>
  <c r="B45" i="26"/>
  <c r="C45" i="26" s="1"/>
  <c r="B44" i="26"/>
  <c r="C44" i="26" s="1"/>
  <c r="B43" i="26"/>
  <c r="C43" i="26" s="1"/>
  <c r="B42" i="26"/>
  <c r="C42" i="26" s="1"/>
  <c r="B41" i="26"/>
  <c r="C41" i="26" s="1"/>
  <c r="B40" i="26"/>
  <c r="C40" i="26" s="1"/>
  <c r="B39" i="26"/>
  <c r="C39" i="26" s="1"/>
  <c r="B38" i="26"/>
  <c r="C38" i="26" s="1"/>
  <c r="B37" i="26"/>
  <c r="C37" i="26" s="1"/>
  <c r="B36" i="26"/>
  <c r="C36" i="26" s="1"/>
  <c r="B35" i="26"/>
  <c r="C35" i="26" s="1"/>
  <c r="B30" i="26"/>
  <c r="C30" i="26" s="1"/>
  <c r="B29" i="26"/>
  <c r="C29" i="26" s="1"/>
  <c r="B28" i="26"/>
  <c r="C28" i="26" s="1"/>
  <c r="B27" i="26"/>
  <c r="C27" i="26" s="1"/>
  <c r="B26" i="26"/>
  <c r="C26" i="26" s="1"/>
  <c r="B25" i="26"/>
  <c r="C25" i="26" s="1"/>
  <c r="B24" i="26"/>
  <c r="C24" i="26" s="1"/>
  <c r="B23" i="26"/>
  <c r="C23" i="26" s="1"/>
  <c r="B22" i="26"/>
  <c r="C22" i="26" s="1"/>
  <c r="B21" i="26"/>
  <c r="C21" i="26" s="1"/>
  <c r="H9" i="26" l="1"/>
  <c r="H16" i="26" s="1"/>
  <c r="D9" i="27"/>
  <c r="E10" i="27"/>
  <c r="F11" i="27"/>
  <c r="D8" i="27"/>
  <c r="E9" i="27"/>
  <c r="F10" i="27"/>
  <c r="D12" i="27"/>
  <c r="E13" i="27"/>
  <c r="E8" i="27"/>
  <c r="F9" i="27"/>
  <c r="D11" i="27"/>
  <c r="E12" i="27"/>
  <c r="F8" i="27"/>
  <c r="D10" i="27"/>
  <c r="E11" i="27"/>
  <c r="F12" i="27"/>
  <c r="E7" i="27" l="1"/>
  <c r="E14" i="27" s="1"/>
  <c r="H282" i="26"/>
  <c r="D282" i="26"/>
  <c r="I282" i="26" s="1"/>
  <c r="D280" i="26"/>
  <c r="D284" i="26"/>
  <c r="H284" i="26"/>
  <c r="D288" i="26"/>
  <c r="H288" i="26"/>
  <c r="D283" i="26"/>
  <c r="D281" i="26"/>
  <c r="D285" i="26"/>
  <c r="D286" i="26"/>
  <c r="D287" i="26"/>
  <c r="I288" i="26" l="1"/>
  <c r="I284" i="26"/>
  <c r="C32" i="17"/>
  <c r="H286" i="26"/>
  <c r="I286" i="26" s="1"/>
  <c r="H285" i="26"/>
  <c r="I285" i="26" s="1"/>
  <c r="H281" i="26"/>
  <c r="I281" i="26" s="1"/>
  <c r="H280" i="26"/>
  <c r="I280" i="26" s="1"/>
  <c r="G26" i="26"/>
  <c r="E26" i="26"/>
  <c r="F26" i="26"/>
  <c r="D26" i="26"/>
  <c r="E41" i="26"/>
  <c r="G41" i="26"/>
  <c r="D41" i="26"/>
  <c r="F41" i="26"/>
  <c r="E49" i="26"/>
  <c r="G49" i="26"/>
  <c r="D49" i="26"/>
  <c r="F49" i="26"/>
  <c r="F63" i="26"/>
  <c r="E63" i="26"/>
  <c r="D63" i="26"/>
  <c r="G63" i="26"/>
  <c r="G85" i="26"/>
  <c r="F85" i="26"/>
  <c r="E85" i="26"/>
  <c r="D85" i="26"/>
  <c r="G93" i="26"/>
  <c r="F93" i="26"/>
  <c r="E93" i="26"/>
  <c r="D93" i="26"/>
  <c r="G30" i="26"/>
  <c r="F30" i="26"/>
  <c r="E30" i="26"/>
  <c r="D30" i="26"/>
  <c r="E45" i="26"/>
  <c r="D45" i="26"/>
  <c r="G45" i="26"/>
  <c r="F45" i="26"/>
  <c r="E53" i="26"/>
  <c r="D53" i="26"/>
  <c r="G53" i="26"/>
  <c r="F53" i="26"/>
  <c r="F67" i="26"/>
  <c r="D67" i="26"/>
  <c r="E67" i="26"/>
  <c r="G67" i="26"/>
  <c r="F71" i="26"/>
  <c r="D71" i="26"/>
  <c r="E71" i="26"/>
  <c r="G71" i="26"/>
  <c r="F75" i="26"/>
  <c r="E75" i="26"/>
  <c r="D75" i="26"/>
  <c r="G75" i="26"/>
  <c r="G89" i="26"/>
  <c r="F89" i="26"/>
  <c r="E89" i="26"/>
  <c r="D89" i="26"/>
  <c r="G97" i="26"/>
  <c r="F97" i="26"/>
  <c r="E97" i="26"/>
  <c r="D97" i="26"/>
  <c r="G107" i="26"/>
  <c r="F107" i="26"/>
  <c r="E107" i="26"/>
  <c r="D107" i="26"/>
  <c r="G111" i="26"/>
  <c r="F111" i="26"/>
  <c r="E111" i="26"/>
  <c r="D111" i="26"/>
  <c r="F115" i="26"/>
  <c r="G115" i="26"/>
  <c r="D115" i="26"/>
  <c r="E115" i="26"/>
  <c r="E119" i="26"/>
  <c r="G119" i="26"/>
  <c r="F119" i="26"/>
  <c r="D119" i="26"/>
  <c r="G123" i="26"/>
  <c r="F123" i="26"/>
  <c r="E123" i="26"/>
  <c r="D123" i="26"/>
  <c r="E133" i="26"/>
  <c r="D133" i="26"/>
  <c r="G133" i="26"/>
  <c r="F133" i="26"/>
  <c r="G137" i="26"/>
  <c r="E137" i="26"/>
  <c r="D137" i="26"/>
  <c r="F137" i="26"/>
  <c r="E141" i="26"/>
  <c r="D141" i="26"/>
  <c r="G141" i="26"/>
  <c r="F141" i="26"/>
  <c r="G145" i="26"/>
  <c r="E145" i="26"/>
  <c r="D145" i="26"/>
  <c r="F145" i="26"/>
  <c r="G157" i="26"/>
  <c r="F157" i="26"/>
  <c r="E157" i="26"/>
  <c r="D157" i="26"/>
  <c r="G161" i="26"/>
  <c r="F161" i="26"/>
  <c r="E161" i="26"/>
  <c r="D161" i="26"/>
  <c r="G169" i="26"/>
  <c r="E169" i="26"/>
  <c r="D169" i="26"/>
  <c r="F169" i="26"/>
  <c r="E173" i="26"/>
  <c r="G173" i="26"/>
  <c r="D173" i="26"/>
  <c r="F173" i="26"/>
  <c r="E190" i="26"/>
  <c r="D190" i="26"/>
  <c r="G190" i="26"/>
  <c r="F190" i="26"/>
  <c r="E201" i="26"/>
  <c r="G201" i="26"/>
  <c r="D201" i="26"/>
  <c r="F201" i="26"/>
  <c r="G205" i="26"/>
  <c r="E205" i="26"/>
  <c r="D205" i="26"/>
  <c r="F205" i="26"/>
  <c r="G216" i="26"/>
  <c r="E216" i="26"/>
  <c r="D216" i="26"/>
  <c r="F216" i="26"/>
  <c r="F227" i="26"/>
  <c r="G227" i="26"/>
  <c r="E227" i="26"/>
  <c r="D227" i="26"/>
  <c r="F231" i="26"/>
  <c r="E231" i="26"/>
  <c r="D231" i="26"/>
  <c r="G231" i="26"/>
  <c r="G240" i="26"/>
  <c r="F240" i="26"/>
  <c r="E240" i="26"/>
  <c r="D240" i="26"/>
  <c r="G244" i="26"/>
  <c r="F244" i="26"/>
  <c r="E244" i="26"/>
  <c r="D244" i="26"/>
  <c r="G254" i="26"/>
  <c r="F254" i="26"/>
  <c r="E254" i="26"/>
  <c r="D254" i="26"/>
  <c r="G258" i="26"/>
  <c r="F258" i="26"/>
  <c r="E258" i="26"/>
  <c r="D258" i="26"/>
  <c r="G268" i="26"/>
  <c r="E268" i="26"/>
  <c r="D268" i="26"/>
  <c r="F268" i="26"/>
  <c r="G27" i="26"/>
  <c r="F27" i="26"/>
  <c r="E27" i="26"/>
  <c r="D27" i="26"/>
  <c r="G38" i="26"/>
  <c r="F38" i="26"/>
  <c r="D38" i="26"/>
  <c r="E38" i="26"/>
  <c r="G42" i="26"/>
  <c r="F42" i="26"/>
  <c r="E42" i="26"/>
  <c r="D42" i="26"/>
  <c r="G46" i="26"/>
  <c r="E46" i="26"/>
  <c r="F46" i="26"/>
  <c r="D46" i="26"/>
  <c r="G50" i="26"/>
  <c r="F50" i="26"/>
  <c r="E50" i="26"/>
  <c r="D50" i="26"/>
  <c r="G54" i="26"/>
  <c r="F54" i="26"/>
  <c r="E54" i="26"/>
  <c r="D54" i="26"/>
  <c r="E64" i="26"/>
  <c r="D64" i="26"/>
  <c r="G64" i="26"/>
  <c r="F64" i="26"/>
  <c r="E68" i="26"/>
  <c r="G68" i="26"/>
  <c r="D68" i="26"/>
  <c r="F68" i="26"/>
  <c r="E72" i="26"/>
  <c r="D72" i="26"/>
  <c r="G72" i="26"/>
  <c r="F72" i="26"/>
  <c r="E76" i="26"/>
  <c r="G76" i="26"/>
  <c r="D76" i="26"/>
  <c r="F76" i="26"/>
  <c r="F86" i="26"/>
  <c r="G86" i="26"/>
  <c r="D86" i="26"/>
  <c r="E86" i="26"/>
  <c r="F90" i="26"/>
  <c r="D90" i="26"/>
  <c r="G90" i="26"/>
  <c r="E90" i="26"/>
  <c r="G94" i="26"/>
  <c r="F94" i="26"/>
  <c r="E94" i="26"/>
  <c r="D94" i="26"/>
  <c r="F98" i="26"/>
  <c r="G98" i="26"/>
  <c r="E98" i="26"/>
  <c r="D98" i="26"/>
  <c r="G108" i="26"/>
  <c r="F108" i="26"/>
  <c r="E108" i="26"/>
  <c r="D108" i="26"/>
  <c r="G112" i="26"/>
  <c r="F112" i="26"/>
  <c r="E112" i="26"/>
  <c r="D112" i="26"/>
  <c r="G116" i="26"/>
  <c r="F116" i="26"/>
  <c r="E116" i="26"/>
  <c r="D116" i="26"/>
  <c r="G120" i="26"/>
  <c r="F120" i="26"/>
  <c r="E120" i="26"/>
  <c r="D120" i="26"/>
  <c r="G130" i="26"/>
  <c r="F130" i="26"/>
  <c r="E130" i="26"/>
  <c r="D130" i="26"/>
  <c r="G134" i="26"/>
  <c r="F134" i="26"/>
  <c r="D134" i="26"/>
  <c r="E134" i="26"/>
  <c r="G138" i="26"/>
  <c r="E138" i="26"/>
  <c r="F138" i="26"/>
  <c r="D138" i="26"/>
  <c r="G142" i="26"/>
  <c r="F142" i="26"/>
  <c r="E142" i="26"/>
  <c r="D142" i="26"/>
  <c r="G146" i="26"/>
  <c r="F146" i="26"/>
  <c r="E146" i="26"/>
  <c r="D146" i="26"/>
  <c r="F158" i="26"/>
  <c r="G158" i="26"/>
  <c r="E158" i="26"/>
  <c r="D158" i="26"/>
  <c r="F162" i="26"/>
  <c r="D162" i="26"/>
  <c r="E162" i="26"/>
  <c r="G162" i="26"/>
  <c r="G170" i="26"/>
  <c r="F170" i="26"/>
  <c r="E170" i="26"/>
  <c r="D170" i="26"/>
  <c r="G174" i="26"/>
  <c r="F174" i="26"/>
  <c r="E174" i="26"/>
  <c r="D174" i="26"/>
  <c r="G191" i="26"/>
  <c r="F191" i="26"/>
  <c r="E191" i="26"/>
  <c r="D191" i="26"/>
  <c r="G202" i="26"/>
  <c r="F202" i="26"/>
  <c r="E202" i="26"/>
  <c r="D202" i="26"/>
  <c r="G206" i="26"/>
  <c r="F206" i="26"/>
  <c r="D206" i="26"/>
  <c r="E206" i="26"/>
  <c r="G217" i="26"/>
  <c r="F217" i="26"/>
  <c r="E217" i="26"/>
  <c r="D217" i="26"/>
  <c r="G228" i="26"/>
  <c r="E228" i="26"/>
  <c r="D228" i="26"/>
  <c r="F228" i="26"/>
  <c r="E232" i="26"/>
  <c r="D232" i="26"/>
  <c r="F232" i="26"/>
  <c r="G232" i="26"/>
  <c r="F241" i="26"/>
  <c r="E241" i="26"/>
  <c r="G241" i="26"/>
  <c r="D241" i="26"/>
  <c r="F245" i="26"/>
  <c r="G245" i="26"/>
  <c r="E245" i="26"/>
  <c r="D245" i="26"/>
  <c r="G255" i="26"/>
  <c r="F255" i="26"/>
  <c r="E255" i="26"/>
  <c r="D255" i="26"/>
  <c r="F265" i="26"/>
  <c r="G265" i="26"/>
  <c r="E265" i="26"/>
  <c r="D265" i="26"/>
  <c r="G269" i="26"/>
  <c r="F269" i="26"/>
  <c r="D269" i="26"/>
  <c r="E269" i="26"/>
  <c r="F28" i="26"/>
  <c r="D28" i="26"/>
  <c r="G28" i="26"/>
  <c r="E28" i="26"/>
  <c r="G39" i="26"/>
  <c r="F39" i="26"/>
  <c r="E39" i="26"/>
  <c r="D39" i="26"/>
  <c r="G43" i="26"/>
  <c r="F43" i="26"/>
  <c r="E43" i="26"/>
  <c r="D43" i="26"/>
  <c r="G47" i="26"/>
  <c r="F47" i="26"/>
  <c r="E47" i="26"/>
  <c r="D47" i="26"/>
  <c r="G51" i="26"/>
  <c r="F51" i="26"/>
  <c r="E51" i="26"/>
  <c r="D51" i="26"/>
  <c r="G61" i="26"/>
  <c r="F61" i="26"/>
  <c r="E61" i="26"/>
  <c r="D61" i="26"/>
  <c r="G65" i="26"/>
  <c r="E65" i="26"/>
  <c r="F65" i="26"/>
  <c r="D65" i="26"/>
  <c r="G69" i="26"/>
  <c r="F69" i="26"/>
  <c r="E69" i="26"/>
  <c r="D69" i="26"/>
  <c r="G73" i="26"/>
  <c r="F73" i="26"/>
  <c r="E73" i="26"/>
  <c r="D73" i="26"/>
  <c r="G77" i="26"/>
  <c r="F77" i="26"/>
  <c r="D77" i="26"/>
  <c r="E77" i="26"/>
  <c r="E87" i="26"/>
  <c r="G87" i="26"/>
  <c r="D87" i="26"/>
  <c r="F87" i="26"/>
  <c r="E91" i="26"/>
  <c r="D91" i="26"/>
  <c r="G91" i="26"/>
  <c r="F91" i="26"/>
  <c r="E95" i="26"/>
  <c r="D95" i="26"/>
  <c r="G95" i="26"/>
  <c r="F95" i="26"/>
  <c r="G99" i="26"/>
  <c r="E99" i="26"/>
  <c r="D99" i="26"/>
  <c r="F99" i="26"/>
  <c r="F109" i="26"/>
  <c r="D109" i="26"/>
  <c r="G109" i="26"/>
  <c r="E109" i="26"/>
  <c r="G113" i="26"/>
  <c r="F113" i="26"/>
  <c r="E113" i="26"/>
  <c r="D113" i="26"/>
  <c r="F117" i="26"/>
  <c r="G117" i="26"/>
  <c r="D117" i="26"/>
  <c r="E117" i="26"/>
  <c r="F121" i="26"/>
  <c r="G121" i="26"/>
  <c r="E121" i="26"/>
  <c r="D121" i="26"/>
  <c r="G131" i="26"/>
  <c r="F131" i="26"/>
  <c r="E131" i="26"/>
  <c r="D131" i="26"/>
  <c r="G135" i="26"/>
  <c r="F135" i="26"/>
  <c r="E135" i="26"/>
  <c r="D135" i="26"/>
  <c r="G139" i="26"/>
  <c r="F139" i="26"/>
  <c r="D139" i="26"/>
  <c r="E139" i="26"/>
  <c r="G143" i="26"/>
  <c r="F143" i="26"/>
  <c r="E143" i="26"/>
  <c r="D143" i="26"/>
  <c r="E155" i="26"/>
  <c r="G155" i="26"/>
  <c r="D155" i="26"/>
  <c r="F155" i="26"/>
  <c r="G159" i="26"/>
  <c r="E159" i="26"/>
  <c r="D159" i="26"/>
  <c r="F159" i="26"/>
  <c r="G167" i="26"/>
  <c r="F167" i="26"/>
  <c r="E167" i="26"/>
  <c r="D167" i="26"/>
  <c r="G171" i="26"/>
  <c r="F171" i="26"/>
  <c r="E171" i="26"/>
  <c r="D171" i="26"/>
  <c r="G188" i="26"/>
  <c r="F188" i="26"/>
  <c r="E188" i="26"/>
  <c r="D188" i="26"/>
  <c r="G192" i="26"/>
  <c r="F192" i="26"/>
  <c r="E192" i="26"/>
  <c r="D192" i="26"/>
  <c r="G203" i="26"/>
  <c r="F203" i="26"/>
  <c r="E203" i="26"/>
  <c r="D203" i="26"/>
  <c r="G214" i="26"/>
  <c r="F214" i="26"/>
  <c r="E214" i="26"/>
  <c r="D214" i="26"/>
  <c r="G218" i="26"/>
  <c r="F218" i="26"/>
  <c r="E218" i="26"/>
  <c r="D218" i="26"/>
  <c r="G229" i="26"/>
  <c r="F229" i="26"/>
  <c r="D229" i="26"/>
  <c r="E229" i="26"/>
  <c r="G233" i="26"/>
  <c r="F233" i="26"/>
  <c r="E233" i="26"/>
  <c r="D233" i="26"/>
  <c r="E242" i="26"/>
  <c r="G242" i="26"/>
  <c r="D242" i="26"/>
  <c r="F242" i="26"/>
  <c r="F252" i="26"/>
  <c r="E252" i="26"/>
  <c r="D252" i="26"/>
  <c r="G252" i="26"/>
  <c r="G256" i="26"/>
  <c r="F256" i="26"/>
  <c r="E256" i="26"/>
  <c r="D256" i="26"/>
  <c r="F266" i="26"/>
  <c r="G266" i="26"/>
  <c r="E266" i="26"/>
  <c r="D266" i="26"/>
  <c r="G270" i="26"/>
  <c r="F270" i="26"/>
  <c r="E270" i="26"/>
  <c r="D270" i="26"/>
  <c r="H287" i="26"/>
  <c r="I287" i="26" s="1"/>
  <c r="E29" i="26"/>
  <c r="G29" i="26"/>
  <c r="D29" i="26"/>
  <c r="F29" i="26"/>
  <c r="F40" i="26"/>
  <c r="E40" i="26"/>
  <c r="D40" i="26"/>
  <c r="G40" i="26"/>
  <c r="F44" i="26"/>
  <c r="D44" i="26"/>
  <c r="E44" i="26"/>
  <c r="G44" i="26"/>
  <c r="F48" i="26"/>
  <c r="G48" i="26"/>
  <c r="D48" i="26"/>
  <c r="E48" i="26"/>
  <c r="F52" i="26"/>
  <c r="D52" i="26"/>
  <c r="G52" i="26"/>
  <c r="E52" i="26"/>
  <c r="G62" i="26"/>
  <c r="F62" i="26"/>
  <c r="D62" i="26"/>
  <c r="E62" i="26"/>
  <c r="G66" i="26"/>
  <c r="F66" i="26"/>
  <c r="E66" i="26"/>
  <c r="D66" i="26"/>
  <c r="G70" i="26"/>
  <c r="F70" i="26"/>
  <c r="E70" i="26"/>
  <c r="D70" i="26"/>
  <c r="G74" i="26"/>
  <c r="F74" i="26"/>
  <c r="E74" i="26"/>
  <c r="D74" i="26"/>
  <c r="G84" i="26"/>
  <c r="E84" i="26"/>
  <c r="F84" i="26"/>
  <c r="D84" i="26"/>
  <c r="G88" i="26"/>
  <c r="F88" i="26"/>
  <c r="E88" i="26"/>
  <c r="D88" i="26"/>
  <c r="G92" i="26"/>
  <c r="F92" i="26"/>
  <c r="E92" i="26"/>
  <c r="D92" i="26"/>
  <c r="G96" i="26"/>
  <c r="F96" i="26"/>
  <c r="E96" i="26"/>
  <c r="D96" i="26"/>
  <c r="E100" i="26"/>
  <c r="F100" i="26"/>
  <c r="D100" i="26"/>
  <c r="G100" i="26"/>
  <c r="E110" i="26"/>
  <c r="G110" i="26"/>
  <c r="D110" i="26"/>
  <c r="F110" i="26"/>
  <c r="E114" i="26"/>
  <c r="D114" i="26"/>
  <c r="F114" i="26"/>
  <c r="G114" i="26"/>
  <c r="G118" i="26"/>
  <c r="E118" i="26"/>
  <c r="D118" i="26"/>
  <c r="F118" i="26"/>
  <c r="E122" i="26"/>
  <c r="G122" i="26"/>
  <c r="D122" i="26"/>
  <c r="F122" i="26"/>
  <c r="G132" i="26"/>
  <c r="F132" i="26"/>
  <c r="E132" i="26"/>
  <c r="D132" i="26"/>
  <c r="F136" i="26"/>
  <c r="G136" i="26"/>
  <c r="E136" i="26"/>
  <c r="D136" i="26"/>
  <c r="F140" i="26"/>
  <c r="E140" i="26"/>
  <c r="D140" i="26"/>
  <c r="G140" i="26"/>
  <c r="F144" i="26"/>
  <c r="G144" i="26"/>
  <c r="D144" i="26"/>
  <c r="E144" i="26"/>
  <c r="G156" i="26"/>
  <c r="F156" i="26"/>
  <c r="E156" i="26"/>
  <c r="D156" i="26"/>
  <c r="G160" i="26"/>
  <c r="E160" i="26"/>
  <c r="F160" i="26"/>
  <c r="D160" i="26"/>
  <c r="F168" i="26"/>
  <c r="G168" i="26"/>
  <c r="D168" i="26"/>
  <c r="E168" i="26"/>
  <c r="F172" i="26"/>
  <c r="E172" i="26"/>
  <c r="G172" i="26"/>
  <c r="D172" i="26"/>
  <c r="F189" i="26"/>
  <c r="E189" i="26"/>
  <c r="D189" i="26"/>
  <c r="G189" i="26"/>
  <c r="F193" i="26"/>
  <c r="G193" i="26"/>
  <c r="E193" i="26"/>
  <c r="D193" i="26"/>
  <c r="F204" i="26"/>
  <c r="G204" i="26"/>
  <c r="E204" i="26"/>
  <c r="D204" i="26"/>
  <c r="F215" i="26"/>
  <c r="G215" i="26"/>
  <c r="E215" i="26"/>
  <c r="D215" i="26"/>
  <c r="F219" i="26"/>
  <c r="E219" i="26"/>
  <c r="G219" i="26"/>
  <c r="D219" i="26"/>
  <c r="G230" i="26"/>
  <c r="F230" i="26"/>
  <c r="E230" i="26"/>
  <c r="D230" i="26"/>
  <c r="G239" i="26"/>
  <c r="F239" i="26"/>
  <c r="D239" i="26"/>
  <c r="E239" i="26"/>
  <c r="G243" i="26"/>
  <c r="F243" i="26"/>
  <c r="E243" i="26"/>
  <c r="D243" i="26"/>
  <c r="E253" i="26"/>
  <c r="D253" i="26"/>
  <c r="G253" i="26"/>
  <c r="F253" i="26"/>
  <c r="E257" i="26"/>
  <c r="G257" i="26"/>
  <c r="D257" i="26"/>
  <c r="F257" i="26"/>
  <c r="G267" i="26"/>
  <c r="F267" i="26"/>
  <c r="E267" i="26"/>
  <c r="D267" i="26"/>
  <c r="G271" i="26"/>
  <c r="F271" i="26"/>
  <c r="E271" i="26"/>
  <c r="D271" i="26"/>
  <c r="H283" i="26"/>
  <c r="I283" i="26" s="1"/>
  <c r="G22" i="26" l="1"/>
  <c r="F22" i="26"/>
  <c r="E22" i="26"/>
  <c r="G127" i="26"/>
  <c r="F127" i="26"/>
  <c r="E127" i="26"/>
  <c r="D127" i="26"/>
  <c r="H239" i="26"/>
  <c r="I239" i="26" s="1"/>
  <c r="G23" i="26"/>
  <c r="F23" i="26"/>
  <c r="E23" i="26"/>
  <c r="G104" i="26"/>
  <c r="F104" i="26"/>
  <c r="E104" i="26"/>
  <c r="D104" i="26"/>
  <c r="G199" i="26"/>
  <c r="F199" i="26"/>
  <c r="E199" i="26"/>
  <c r="D199" i="26"/>
  <c r="H271" i="26"/>
  <c r="I271" i="26" s="1"/>
  <c r="H230" i="26"/>
  <c r="I230" i="26" s="1"/>
  <c r="H215" i="26"/>
  <c r="I215" i="26" s="1"/>
  <c r="H204" i="26"/>
  <c r="I204" i="26" s="1"/>
  <c r="H193" i="26"/>
  <c r="I193" i="26" s="1"/>
  <c r="H156" i="26"/>
  <c r="I156" i="26" s="1"/>
  <c r="H136" i="26"/>
  <c r="I136" i="26" s="1"/>
  <c r="H132" i="26"/>
  <c r="I132" i="26" s="1"/>
  <c r="H96" i="26"/>
  <c r="I96" i="26" s="1"/>
  <c r="H92" i="26"/>
  <c r="I92" i="26" s="1"/>
  <c r="H88" i="26"/>
  <c r="I88" i="26" s="1"/>
  <c r="H74" i="26"/>
  <c r="I74" i="26" s="1"/>
  <c r="H70" i="26"/>
  <c r="I70" i="26" s="1"/>
  <c r="H66" i="26"/>
  <c r="I66" i="26" s="1"/>
  <c r="H44" i="26"/>
  <c r="I44" i="26" s="1"/>
  <c r="H229" i="26"/>
  <c r="I229" i="26" s="1"/>
  <c r="H139" i="26"/>
  <c r="I139" i="26" s="1"/>
  <c r="H117" i="26"/>
  <c r="I117" i="26" s="1"/>
  <c r="H109" i="26"/>
  <c r="I109" i="26" s="1"/>
  <c r="H77" i="26"/>
  <c r="I77" i="26" s="1"/>
  <c r="H28" i="26"/>
  <c r="I28" i="26" s="1"/>
  <c r="H269" i="26"/>
  <c r="I269" i="26" s="1"/>
  <c r="H206" i="26"/>
  <c r="I206" i="26" s="1"/>
  <c r="H134" i="26"/>
  <c r="I134" i="26" s="1"/>
  <c r="H90" i="26"/>
  <c r="I90" i="26" s="1"/>
  <c r="H86" i="26"/>
  <c r="I86" i="26" s="1"/>
  <c r="H38" i="26"/>
  <c r="I38" i="26" s="1"/>
  <c r="H115" i="26"/>
  <c r="I115" i="26" s="1"/>
  <c r="F59" i="26"/>
  <c r="E59" i="26"/>
  <c r="D59" i="26"/>
  <c r="G59" i="26"/>
  <c r="F154" i="26"/>
  <c r="E154" i="26"/>
  <c r="G154" i="26"/>
  <c r="D154" i="26"/>
  <c r="G198" i="26"/>
  <c r="F198" i="26"/>
  <c r="D198" i="26"/>
  <c r="E198" i="26"/>
  <c r="G225" i="26"/>
  <c r="F225" i="26"/>
  <c r="E225" i="26"/>
  <c r="D225" i="26"/>
  <c r="H168" i="26"/>
  <c r="I168" i="26" s="1"/>
  <c r="E60" i="26"/>
  <c r="G60" i="26"/>
  <c r="D60" i="26"/>
  <c r="F60" i="26"/>
  <c r="E165" i="26"/>
  <c r="D165" i="26"/>
  <c r="F165" i="26"/>
  <c r="G165" i="26"/>
  <c r="E212" i="26"/>
  <c r="D212" i="26"/>
  <c r="G212" i="26"/>
  <c r="F212" i="26"/>
  <c r="G249" i="26"/>
  <c r="E249" i="26"/>
  <c r="D249" i="26"/>
  <c r="F249" i="26"/>
  <c r="H243" i="26"/>
  <c r="I243" i="26" s="1"/>
  <c r="F24" i="26"/>
  <c r="E24" i="26"/>
  <c r="G24" i="26"/>
  <c r="E37" i="26"/>
  <c r="D37" i="26"/>
  <c r="G37" i="26"/>
  <c r="F37" i="26"/>
  <c r="G81" i="26"/>
  <c r="F81" i="26"/>
  <c r="E81" i="26"/>
  <c r="D81" i="26"/>
  <c r="F105" i="26"/>
  <c r="D105" i="26"/>
  <c r="G105" i="26"/>
  <c r="E105" i="26"/>
  <c r="E129" i="26"/>
  <c r="D129" i="26"/>
  <c r="G129" i="26"/>
  <c r="F129" i="26"/>
  <c r="G166" i="26"/>
  <c r="F166" i="26"/>
  <c r="E166" i="26"/>
  <c r="D166" i="26"/>
  <c r="G187" i="26"/>
  <c r="E187" i="26"/>
  <c r="F187" i="26"/>
  <c r="D187" i="26"/>
  <c r="F200" i="26"/>
  <c r="E200" i="26"/>
  <c r="G200" i="26"/>
  <c r="D200" i="26"/>
  <c r="G213" i="26"/>
  <c r="F213" i="26"/>
  <c r="E213" i="26"/>
  <c r="D213" i="26"/>
  <c r="G236" i="26"/>
  <c r="F236" i="26"/>
  <c r="E236" i="26"/>
  <c r="D236" i="26"/>
  <c r="G250" i="26"/>
  <c r="F250" i="26"/>
  <c r="D250" i="26"/>
  <c r="E250" i="26"/>
  <c r="G264" i="26"/>
  <c r="E264" i="26"/>
  <c r="D264" i="26"/>
  <c r="F264" i="26"/>
  <c r="H219" i="26"/>
  <c r="I219" i="26" s="1"/>
  <c r="H189" i="26"/>
  <c r="I189" i="26" s="1"/>
  <c r="H172" i="26"/>
  <c r="I172" i="26" s="1"/>
  <c r="H160" i="26"/>
  <c r="I160" i="26" s="1"/>
  <c r="H140" i="26"/>
  <c r="I140" i="26" s="1"/>
  <c r="H118" i="26"/>
  <c r="I118" i="26" s="1"/>
  <c r="H84" i="26"/>
  <c r="I84" i="26" s="1"/>
  <c r="H40" i="26"/>
  <c r="I40" i="26" s="1"/>
  <c r="H270" i="26"/>
  <c r="I270" i="26" s="1"/>
  <c r="H266" i="26"/>
  <c r="I266" i="26" s="1"/>
  <c r="H256" i="26"/>
  <c r="I256" i="26" s="1"/>
  <c r="H233" i="26"/>
  <c r="I233" i="26" s="1"/>
  <c r="H218" i="26"/>
  <c r="I218" i="26" s="1"/>
  <c r="H214" i="26"/>
  <c r="I214" i="26" s="1"/>
  <c r="H203" i="26"/>
  <c r="I203" i="26" s="1"/>
  <c r="H192" i="26"/>
  <c r="I192" i="26" s="1"/>
  <c r="H188" i="26"/>
  <c r="I188" i="26" s="1"/>
  <c r="H171" i="26"/>
  <c r="I171" i="26" s="1"/>
  <c r="H167" i="26"/>
  <c r="I167" i="26" s="1"/>
  <c r="H143" i="26"/>
  <c r="I143" i="26" s="1"/>
  <c r="H135" i="26"/>
  <c r="I135" i="26" s="1"/>
  <c r="H131" i="26"/>
  <c r="I131" i="26" s="1"/>
  <c r="H121" i="26"/>
  <c r="I121" i="26" s="1"/>
  <c r="H113" i="26"/>
  <c r="I113" i="26" s="1"/>
  <c r="H73" i="26"/>
  <c r="I73" i="26" s="1"/>
  <c r="H69" i="26"/>
  <c r="I69" i="26" s="1"/>
  <c r="H61" i="26"/>
  <c r="I61" i="26" s="1"/>
  <c r="H51" i="26"/>
  <c r="I51" i="26" s="1"/>
  <c r="H47" i="26"/>
  <c r="I47" i="26" s="1"/>
  <c r="H43" i="26"/>
  <c r="I43" i="26" s="1"/>
  <c r="H39" i="26"/>
  <c r="I39" i="26" s="1"/>
  <c r="H265" i="26"/>
  <c r="I265" i="26" s="1"/>
  <c r="H255" i="26"/>
  <c r="I255" i="26" s="1"/>
  <c r="H245" i="26"/>
  <c r="I245" i="26" s="1"/>
  <c r="H217" i="26"/>
  <c r="I217" i="26" s="1"/>
  <c r="H202" i="26"/>
  <c r="I202" i="26" s="1"/>
  <c r="H191" i="26"/>
  <c r="I191" i="26" s="1"/>
  <c r="H174" i="26"/>
  <c r="I174" i="26" s="1"/>
  <c r="H170" i="26"/>
  <c r="I170" i="26" s="1"/>
  <c r="H162" i="26"/>
  <c r="I162" i="26" s="1"/>
  <c r="H158" i="26"/>
  <c r="I158" i="26" s="1"/>
  <c r="H146" i="26"/>
  <c r="I146" i="26" s="1"/>
  <c r="H142" i="26"/>
  <c r="I142" i="26" s="1"/>
  <c r="H130" i="26"/>
  <c r="I130" i="26" s="1"/>
  <c r="H120" i="26"/>
  <c r="I120" i="26" s="1"/>
  <c r="H116" i="26"/>
  <c r="I116" i="26" s="1"/>
  <c r="H112" i="26"/>
  <c r="I112" i="26" s="1"/>
  <c r="H108" i="26"/>
  <c r="I108" i="26" s="1"/>
  <c r="H98" i="26"/>
  <c r="I98" i="26" s="1"/>
  <c r="H94" i="26"/>
  <c r="I94" i="26" s="1"/>
  <c r="H54" i="26"/>
  <c r="I54" i="26" s="1"/>
  <c r="H50" i="26"/>
  <c r="I50" i="26" s="1"/>
  <c r="H42" i="26"/>
  <c r="I42" i="26" s="1"/>
  <c r="H27" i="26"/>
  <c r="I27" i="26" s="1"/>
  <c r="H258" i="26"/>
  <c r="I258" i="26" s="1"/>
  <c r="H254" i="26"/>
  <c r="I254" i="26" s="1"/>
  <c r="H244" i="26"/>
  <c r="I244" i="26" s="1"/>
  <c r="H240" i="26"/>
  <c r="I240" i="26" s="1"/>
  <c r="H227" i="26"/>
  <c r="I227" i="26" s="1"/>
  <c r="H161" i="26"/>
  <c r="I161" i="26" s="1"/>
  <c r="H157" i="26"/>
  <c r="I157" i="26" s="1"/>
  <c r="H123" i="26"/>
  <c r="I123" i="26" s="1"/>
  <c r="H111" i="26"/>
  <c r="I111" i="26" s="1"/>
  <c r="H107" i="26"/>
  <c r="I107" i="26" s="1"/>
  <c r="H97" i="26"/>
  <c r="I97" i="26" s="1"/>
  <c r="H89" i="26"/>
  <c r="I89" i="26" s="1"/>
  <c r="H71" i="26"/>
  <c r="I71" i="26" s="1"/>
  <c r="H67" i="26"/>
  <c r="I67" i="26" s="1"/>
  <c r="H30" i="26"/>
  <c r="I30" i="26" s="1"/>
  <c r="H93" i="26"/>
  <c r="I93" i="26" s="1"/>
  <c r="H85" i="26"/>
  <c r="I85" i="26" s="1"/>
  <c r="G35" i="26"/>
  <c r="F35" i="26"/>
  <c r="E35" i="26"/>
  <c r="D35" i="26"/>
  <c r="E83" i="26"/>
  <c r="D83" i="26"/>
  <c r="G83" i="26"/>
  <c r="F83" i="26"/>
  <c r="F185" i="26"/>
  <c r="G185" i="26"/>
  <c r="E185" i="26"/>
  <c r="D185" i="26"/>
  <c r="F211" i="26"/>
  <c r="E211" i="26"/>
  <c r="D211" i="26"/>
  <c r="G211" i="26"/>
  <c r="G238" i="26"/>
  <c r="E238" i="26"/>
  <c r="D238" i="26"/>
  <c r="F238" i="26"/>
  <c r="G262" i="26"/>
  <c r="F262" i="26"/>
  <c r="E262" i="26"/>
  <c r="D262" i="26"/>
  <c r="F36" i="26"/>
  <c r="D36" i="26"/>
  <c r="G36" i="26"/>
  <c r="E36" i="26"/>
  <c r="F128" i="26"/>
  <c r="D128" i="26"/>
  <c r="E128" i="26"/>
  <c r="G128" i="26"/>
  <c r="G186" i="26"/>
  <c r="E186" i="26"/>
  <c r="D186" i="26"/>
  <c r="F186" i="26"/>
  <c r="G226" i="26"/>
  <c r="F226" i="26"/>
  <c r="E226" i="26"/>
  <c r="D226" i="26"/>
  <c r="G263" i="26"/>
  <c r="F263" i="26"/>
  <c r="E263" i="26"/>
  <c r="D263" i="26"/>
  <c r="H267" i="26"/>
  <c r="I267" i="26" s="1"/>
  <c r="G21" i="26"/>
  <c r="F21" i="26"/>
  <c r="E21" i="26"/>
  <c r="E25" i="26"/>
  <c r="G25" i="26"/>
  <c r="F25" i="26"/>
  <c r="G58" i="26"/>
  <c r="F58" i="26"/>
  <c r="E58" i="26"/>
  <c r="D58" i="26"/>
  <c r="F82" i="26"/>
  <c r="D82" i="26"/>
  <c r="E82" i="26"/>
  <c r="G82" i="26"/>
  <c r="E106" i="26"/>
  <c r="G106" i="26"/>
  <c r="D106" i="26"/>
  <c r="F106" i="26"/>
  <c r="G153" i="26"/>
  <c r="F153" i="26"/>
  <c r="F163" i="26" s="1"/>
  <c r="E153" i="26"/>
  <c r="D153" i="26"/>
  <c r="G184" i="26"/>
  <c r="F184" i="26"/>
  <c r="E184" i="26"/>
  <c r="D184" i="26"/>
  <c r="G197" i="26"/>
  <c r="E197" i="26"/>
  <c r="D197" i="26"/>
  <c r="F197" i="26"/>
  <c r="G210" i="26"/>
  <c r="F210" i="26"/>
  <c r="E210" i="26"/>
  <c r="D210" i="26"/>
  <c r="E224" i="26"/>
  <c r="G224" i="26"/>
  <c r="D224" i="26"/>
  <c r="F224" i="26"/>
  <c r="F237" i="26"/>
  <c r="G237" i="26"/>
  <c r="E237" i="26"/>
  <c r="D237" i="26"/>
  <c r="G251" i="26"/>
  <c r="F251" i="26"/>
  <c r="E251" i="26"/>
  <c r="D251" i="26"/>
  <c r="G289" i="26"/>
  <c r="D279" i="26"/>
  <c r="F289" i="26"/>
  <c r="H257" i="26"/>
  <c r="I257" i="26" s="1"/>
  <c r="H253" i="26"/>
  <c r="I253" i="26" s="1"/>
  <c r="H122" i="26"/>
  <c r="I122" i="26" s="1"/>
  <c r="H114" i="26"/>
  <c r="I114" i="26" s="1"/>
  <c r="H110" i="26"/>
  <c r="I110" i="26" s="1"/>
  <c r="H100" i="26"/>
  <c r="I100" i="26" s="1"/>
  <c r="H29" i="26"/>
  <c r="I29" i="26" s="1"/>
  <c r="H252" i="26"/>
  <c r="I252" i="26" s="1"/>
  <c r="H159" i="26"/>
  <c r="I159" i="26" s="1"/>
  <c r="H99" i="26"/>
  <c r="I99" i="26" s="1"/>
  <c r="H65" i="26"/>
  <c r="I65" i="26" s="1"/>
  <c r="H241" i="26"/>
  <c r="I241" i="26" s="1"/>
  <c r="H228" i="26"/>
  <c r="I228" i="26" s="1"/>
  <c r="H138" i="26"/>
  <c r="I138" i="26" s="1"/>
  <c r="H46" i="26"/>
  <c r="I46" i="26" s="1"/>
  <c r="H268" i="26"/>
  <c r="I268" i="26" s="1"/>
  <c r="H231" i="26"/>
  <c r="I231" i="26" s="1"/>
  <c r="H216" i="26"/>
  <c r="I216" i="26" s="1"/>
  <c r="H205" i="26"/>
  <c r="I205" i="26" s="1"/>
  <c r="H169" i="26"/>
  <c r="I169" i="26" s="1"/>
  <c r="H145" i="26"/>
  <c r="I145" i="26" s="1"/>
  <c r="H137" i="26"/>
  <c r="I137" i="26" s="1"/>
  <c r="H75" i="26"/>
  <c r="I75" i="26" s="1"/>
  <c r="H63" i="26"/>
  <c r="I63" i="26" s="1"/>
  <c r="H26" i="26"/>
  <c r="I26" i="26" s="1"/>
  <c r="H144" i="26"/>
  <c r="I144" i="26" s="1"/>
  <c r="H62" i="26"/>
  <c r="I62" i="26" s="1"/>
  <c r="H52" i="26"/>
  <c r="I52" i="26" s="1"/>
  <c r="H48" i="26"/>
  <c r="I48" i="26" s="1"/>
  <c r="H242" i="26"/>
  <c r="I242" i="26" s="1"/>
  <c r="H155" i="26"/>
  <c r="I155" i="26" s="1"/>
  <c r="H95" i="26"/>
  <c r="I95" i="26" s="1"/>
  <c r="H91" i="26"/>
  <c r="I91" i="26" s="1"/>
  <c r="H87" i="26"/>
  <c r="I87" i="26" s="1"/>
  <c r="H232" i="26"/>
  <c r="I232" i="26" s="1"/>
  <c r="H76" i="26"/>
  <c r="I76" i="26" s="1"/>
  <c r="H72" i="26"/>
  <c r="I72" i="26" s="1"/>
  <c r="H68" i="26"/>
  <c r="I68" i="26" s="1"/>
  <c r="H64" i="26"/>
  <c r="I64" i="26" s="1"/>
  <c r="H201" i="26"/>
  <c r="I201" i="26" s="1"/>
  <c r="H190" i="26"/>
  <c r="I190" i="26" s="1"/>
  <c r="H173" i="26"/>
  <c r="I173" i="26" s="1"/>
  <c r="H141" i="26"/>
  <c r="I141" i="26" s="1"/>
  <c r="H133" i="26"/>
  <c r="I133" i="26" s="1"/>
  <c r="H119" i="26"/>
  <c r="I119" i="26" s="1"/>
  <c r="H53" i="26"/>
  <c r="I53" i="26" s="1"/>
  <c r="H45" i="26"/>
  <c r="I45" i="26" s="1"/>
  <c r="H49" i="26"/>
  <c r="I49" i="26" s="1"/>
  <c r="H41" i="26"/>
  <c r="I41" i="26" s="1"/>
  <c r="G163" i="26" l="1"/>
  <c r="D207" i="26"/>
  <c r="D34" i="27" s="1"/>
  <c r="D289" i="26"/>
  <c r="G78" i="26"/>
  <c r="F31" i="26"/>
  <c r="D163" i="26"/>
  <c r="D28" i="27" s="1"/>
  <c r="D220" i="26"/>
  <c r="D35" i="27" s="1"/>
  <c r="G207" i="26"/>
  <c r="F207" i="26"/>
  <c r="D246" i="26"/>
  <c r="D36" i="27" s="1"/>
  <c r="F220" i="26"/>
  <c r="G220" i="26"/>
  <c r="G194" i="26"/>
  <c r="D194" i="26"/>
  <c r="D33" i="27" s="1"/>
  <c r="F78" i="26"/>
  <c r="D78" i="26"/>
  <c r="F194" i="26"/>
  <c r="H251" i="26"/>
  <c r="I251" i="26" s="1"/>
  <c r="H237" i="26"/>
  <c r="I237" i="26" s="1"/>
  <c r="E220" i="26"/>
  <c r="H210" i="26"/>
  <c r="I210" i="26" s="1"/>
  <c r="E194" i="26"/>
  <c r="H184" i="26"/>
  <c r="I184" i="26" s="1"/>
  <c r="H153" i="26"/>
  <c r="I153" i="26" s="1"/>
  <c r="E163" i="26"/>
  <c r="H82" i="26"/>
  <c r="I82" i="26" s="1"/>
  <c r="H58" i="26"/>
  <c r="I58" i="26" s="1"/>
  <c r="E78" i="26"/>
  <c r="H36" i="26"/>
  <c r="I36" i="26" s="1"/>
  <c r="D272" i="26"/>
  <c r="D38" i="27" s="1"/>
  <c r="D55" i="26"/>
  <c r="D21" i="27" s="1"/>
  <c r="H264" i="26"/>
  <c r="I264" i="26" s="1"/>
  <c r="H200" i="26"/>
  <c r="I200" i="26" s="1"/>
  <c r="H187" i="26"/>
  <c r="I187" i="26" s="1"/>
  <c r="F101" i="26"/>
  <c r="F259" i="26"/>
  <c r="G175" i="26"/>
  <c r="H154" i="26"/>
  <c r="I154" i="26" s="1"/>
  <c r="H59" i="26"/>
  <c r="I59" i="26" s="1"/>
  <c r="F124" i="26"/>
  <c r="D147" i="26"/>
  <c r="H279" i="26"/>
  <c r="H289" i="26" s="1"/>
  <c r="E43" i="27" s="1"/>
  <c r="E289" i="26"/>
  <c r="G246" i="26"/>
  <c r="E207" i="26"/>
  <c r="H197" i="26"/>
  <c r="I197" i="26" s="1"/>
  <c r="G31" i="26"/>
  <c r="H263" i="26"/>
  <c r="I263" i="26" s="1"/>
  <c r="H226" i="26"/>
  <c r="I226" i="26" s="1"/>
  <c r="H128" i="26"/>
  <c r="I128" i="26" s="1"/>
  <c r="H262" i="26"/>
  <c r="I262" i="26" s="1"/>
  <c r="E272" i="26"/>
  <c r="H185" i="26"/>
  <c r="I185" i="26" s="1"/>
  <c r="H35" i="26"/>
  <c r="I35" i="26" s="1"/>
  <c r="E55" i="26"/>
  <c r="H129" i="26"/>
  <c r="I129" i="26" s="1"/>
  <c r="G101" i="26"/>
  <c r="H37" i="26"/>
  <c r="I37" i="26" s="1"/>
  <c r="D259" i="26"/>
  <c r="F175" i="26"/>
  <c r="F177" i="26" s="1"/>
  <c r="G124" i="26"/>
  <c r="E147" i="26"/>
  <c r="H127" i="26"/>
  <c r="I127" i="26" s="1"/>
  <c r="H22" i="26"/>
  <c r="E246" i="26"/>
  <c r="H224" i="26"/>
  <c r="I224" i="26" s="1"/>
  <c r="H106" i="26"/>
  <c r="I106" i="26" s="1"/>
  <c r="H25" i="26"/>
  <c r="H186" i="26"/>
  <c r="I186" i="26" s="1"/>
  <c r="F272" i="26"/>
  <c r="H238" i="26"/>
  <c r="I238" i="26" s="1"/>
  <c r="H211" i="26"/>
  <c r="I211" i="26" s="1"/>
  <c r="F55" i="26"/>
  <c r="H250" i="26"/>
  <c r="I250" i="26" s="1"/>
  <c r="H105" i="26"/>
  <c r="I105" i="26" s="1"/>
  <c r="D101" i="26"/>
  <c r="E259" i="26"/>
  <c r="H249" i="26"/>
  <c r="I249" i="26" s="1"/>
  <c r="D175" i="26"/>
  <c r="H198" i="26"/>
  <c r="I198" i="26" s="1"/>
  <c r="D124" i="26"/>
  <c r="F147" i="26"/>
  <c r="F246" i="26"/>
  <c r="E31" i="26"/>
  <c r="H21" i="26"/>
  <c r="G272" i="26"/>
  <c r="H83" i="26"/>
  <c r="I83" i="26" s="1"/>
  <c r="G55" i="26"/>
  <c r="H236" i="26"/>
  <c r="I236" i="26" s="1"/>
  <c r="H213" i="26"/>
  <c r="I213" i="26" s="1"/>
  <c r="H166" i="26"/>
  <c r="I166" i="26" s="1"/>
  <c r="E101" i="26"/>
  <c r="H81" i="26"/>
  <c r="I81" i="26" s="1"/>
  <c r="H24" i="26"/>
  <c r="G259" i="26"/>
  <c r="H212" i="26"/>
  <c r="I212" i="26" s="1"/>
  <c r="E175" i="26"/>
  <c r="H165" i="26"/>
  <c r="I165" i="26" s="1"/>
  <c r="H60" i="26"/>
  <c r="I60" i="26" s="1"/>
  <c r="H225" i="26"/>
  <c r="I225" i="26" s="1"/>
  <c r="H199" i="26"/>
  <c r="I199" i="26" s="1"/>
  <c r="E124" i="26"/>
  <c r="H104" i="26"/>
  <c r="I104" i="26" s="1"/>
  <c r="H23" i="26"/>
  <c r="G147" i="26"/>
  <c r="D43" i="27" l="1"/>
  <c r="D15" i="26"/>
  <c r="G177" i="26"/>
  <c r="I279" i="26"/>
  <c r="I289" i="26" s="1"/>
  <c r="F43" i="27" s="1"/>
  <c r="D23" i="27"/>
  <c r="D22" i="27"/>
  <c r="D24" i="27"/>
  <c r="D25" i="27"/>
  <c r="H259" i="26"/>
  <c r="E37" i="27" s="1"/>
  <c r="I175" i="26"/>
  <c r="F29" i="27" s="1"/>
  <c r="I101" i="26"/>
  <c r="D177" i="26"/>
  <c r="D29" i="27"/>
  <c r="D274" i="26"/>
  <c r="D37" i="27"/>
  <c r="D39" i="27" s="1"/>
  <c r="I259" i="26"/>
  <c r="F37" i="27" s="1"/>
  <c r="E177" i="26"/>
  <c r="I147" i="26"/>
  <c r="I124" i="26"/>
  <c r="F23" i="27" s="1"/>
  <c r="G149" i="26"/>
  <c r="H124" i="26"/>
  <c r="I272" i="26"/>
  <c r="F38" i="27" s="1"/>
  <c r="H175" i="26"/>
  <c r="E29" i="27" s="1"/>
  <c r="H101" i="26"/>
  <c r="H272" i="26"/>
  <c r="E38" i="27" s="1"/>
  <c r="I246" i="26"/>
  <c r="F36" i="27" s="1"/>
  <c r="E149" i="26"/>
  <c r="I207" i="26"/>
  <c r="F34" i="27" s="1"/>
  <c r="H78" i="26"/>
  <c r="G274" i="26"/>
  <c r="F274" i="26"/>
  <c r="H246" i="26"/>
  <c r="E36" i="27" s="1"/>
  <c r="I55" i="26"/>
  <c r="H207" i="26"/>
  <c r="E34" i="27" s="1"/>
  <c r="H163" i="26"/>
  <c r="E28" i="27" s="1"/>
  <c r="I220" i="26"/>
  <c r="F35" i="27" s="1"/>
  <c r="H31" i="26"/>
  <c r="E19" i="27" s="1"/>
  <c r="I78" i="26"/>
  <c r="I194" i="26"/>
  <c r="F33" i="27" s="1"/>
  <c r="H220" i="26"/>
  <c r="E35" i="27" s="1"/>
  <c r="F149" i="26"/>
  <c r="F179" i="26" s="1"/>
  <c r="H147" i="26"/>
  <c r="H55" i="26"/>
  <c r="E274" i="26"/>
  <c r="D149" i="26"/>
  <c r="I163" i="26"/>
  <c r="H194" i="26"/>
  <c r="E33" i="27" s="1"/>
  <c r="A3" i="17"/>
  <c r="A4" i="17"/>
  <c r="A1" i="17"/>
  <c r="C37" i="17"/>
  <c r="C38" i="17"/>
  <c r="C13" i="17" l="1"/>
  <c r="I15" i="26"/>
  <c r="F13" i="27" s="1"/>
  <c r="D13" i="27"/>
  <c r="G179" i="26"/>
  <c r="F21" i="27"/>
  <c r="E24" i="27"/>
  <c r="E25" i="27"/>
  <c r="F22" i="27"/>
  <c r="E21" i="27"/>
  <c r="F24" i="27"/>
  <c r="F25" i="27"/>
  <c r="E22" i="27"/>
  <c r="E23" i="27"/>
  <c r="F39" i="27"/>
  <c r="E39" i="27"/>
  <c r="I177" i="26"/>
  <c r="F28" i="27"/>
  <c r="I149" i="26"/>
  <c r="I274" i="26"/>
  <c r="H177" i="26"/>
  <c r="E179" i="26"/>
  <c r="E276" i="26" s="1"/>
  <c r="E291" i="26" s="1"/>
  <c r="E293" i="26" s="1"/>
  <c r="H274" i="26"/>
  <c r="G276" i="26"/>
  <c r="G291" i="26" s="1"/>
  <c r="G293" i="26" s="1"/>
  <c r="H149" i="26"/>
  <c r="F276" i="26"/>
  <c r="F291" i="26" s="1"/>
  <c r="F293" i="26" s="1"/>
  <c r="C41" i="17"/>
  <c r="D25" i="26"/>
  <c r="I25" i="26" s="1"/>
  <c r="D24" i="26"/>
  <c r="I24" i="26" s="1"/>
  <c r="D23" i="26"/>
  <c r="I23" i="26" s="1"/>
  <c r="D22" i="26"/>
  <c r="I22" i="26" s="1"/>
  <c r="D21" i="26"/>
  <c r="I21" i="26" s="1"/>
  <c r="E30" i="27" l="1"/>
  <c r="E41" i="27" s="1"/>
  <c r="E46" i="27" s="1"/>
  <c r="E48" i="27" s="1"/>
  <c r="H179" i="26"/>
  <c r="H276" i="26" s="1"/>
  <c r="H291" i="26" s="1"/>
  <c r="H293" i="26" s="1"/>
  <c r="I31" i="26"/>
  <c r="F19" i="27" s="1"/>
  <c r="D31" i="26"/>
  <c r="D179" i="26" s="1"/>
  <c r="D276" i="26" s="1"/>
  <c r="D291" i="26" s="1"/>
  <c r="C19" i="17"/>
  <c r="C36" i="17"/>
  <c r="C35" i="17"/>
  <c r="C34" i="17"/>
  <c r="C25" i="17"/>
  <c r="C29" i="17"/>
  <c r="C28" i="17"/>
  <c r="C24" i="17"/>
  <c r="C33" i="17"/>
  <c r="C21" i="17"/>
  <c r="C22" i="17"/>
  <c r="F30" i="27" l="1"/>
  <c r="F41" i="27" s="1"/>
  <c r="F46" i="27" s="1"/>
  <c r="I179" i="26"/>
  <c r="I276" i="26" s="1"/>
  <c r="I291" i="26" s="1"/>
  <c r="D19" i="27"/>
  <c r="D9" i="26"/>
  <c r="C23" i="17"/>
  <c r="C39" i="17"/>
  <c r="C20" i="17"/>
  <c r="D16" i="26" l="1"/>
  <c r="C7" i="17"/>
  <c r="D30" i="27"/>
  <c r="D41" i="27" s="1"/>
  <c r="D46" i="27" s="1"/>
  <c r="D7" i="27"/>
  <c r="D14" i="27" s="1"/>
  <c r="I9" i="26"/>
  <c r="F7" i="27" s="1"/>
  <c r="F14" i="27" s="1"/>
  <c r="F48" i="27" s="1"/>
  <c r="C27" i="17"/>
  <c r="C30" i="17" s="1"/>
  <c r="C44" i="17" s="1"/>
  <c r="D48" i="27" l="1"/>
  <c r="D293" i="26"/>
  <c r="C14" i="17"/>
  <c r="C46" i="17" s="1"/>
  <c r="I16" i="26"/>
  <c r="I293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PQR</author>
  </authors>
  <commentList>
    <comment ref="D19" authorId="0" shapeId="0" xr:uid="{C10A5A58-57D3-4DB7-A580-62C86495C0A0}">
      <text>
        <r>
          <rPr>
            <b/>
            <sz val="9"/>
            <color indexed="81"/>
            <rFont val="Tahoma"/>
            <family val="2"/>
          </rPr>
          <t>GFU:</t>
        </r>
        <r>
          <rPr>
            <sz val="9"/>
            <color indexed="81"/>
            <rFont val="Tahoma"/>
            <family val="2"/>
          </rPr>
          <t xml:space="preserve">
Name of the basic unit to be paid for. For example: blankets, food basket, person.</t>
        </r>
      </text>
    </comment>
    <comment ref="E19" authorId="0" shapeId="0" xr:uid="{CE37CB38-FFD2-41E0-89FE-80CE27F59B4A}">
      <text>
        <r>
          <rPr>
            <b/>
            <sz val="9"/>
            <color indexed="81"/>
            <rFont val="Tahoma"/>
            <family val="2"/>
          </rPr>
          <t xml:space="preserve">GFU:
</t>
        </r>
        <r>
          <rPr>
            <sz val="9"/>
            <color indexed="81"/>
            <rFont val="Tahoma"/>
            <family val="2"/>
          </rPr>
          <t>How many units will be paid for during the frequency specified in column G.</t>
        </r>
      </text>
    </comment>
    <comment ref="F19" authorId="0" shapeId="0" xr:uid="{2E75AC99-C848-4A96-B024-589048C4D863}">
      <text>
        <r>
          <rPr>
            <b/>
            <sz val="9"/>
            <color indexed="81"/>
            <rFont val="Tahoma"/>
            <family val="2"/>
          </rPr>
          <t>GFU:</t>
        </r>
        <r>
          <rPr>
            <sz val="9"/>
            <color indexed="81"/>
            <rFont val="Tahoma"/>
            <family val="2"/>
          </rPr>
          <t xml:space="preserve">
Cost of one unit.</t>
        </r>
      </text>
    </comment>
    <comment ref="G19" authorId="0" shapeId="0" xr:uid="{910486A7-5B1A-4F5B-9CFE-BDE726F65949}">
      <text>
        <r>
          <rPr>
            <b/>
            <sz val="9"/>
            <color indexed="81"/>
            <rFont val="Tahoma"/>
            <family val="2"/>
          </rPr>
          <t>GFU:</t>
        </r>
        <r>
          <rPr>
            <sz val="9"/>
            <color indexed="81"/>
            <rFont val="Tahoma"/>
            <family val="2"/>
          </rPr>
          <t xml:space="preserve">
How often will this quantity be paid for. For example: day, week, month, year.</t>
        </r>
      </text>
    </comment>
    <comment ref="I46" authorId="0" shapeId="0" xr:uid="{0D3B2B6E-9C92-4B52-B03D-F40F55EDFF52}">
      <text>
        <r>
          <rPr>
            <b/>
            <sz val="9"/>
            <color indexed="81"/>
            <rFont val="Tahoma"/>
            <family val="2"/>
          </rPr>
          <t>GFU:</t>
        </r>
        <r>
          <rPr>
            <sz val="9"/>
            <color indexed="81"/>
            <rFont val="Tahoma"/>
            <family val="2"/>
          </rPr>
          <t xml:space="preserve">
List all the direct costs related to each objective, except staff, equipment, staff travel. Describe the purpose of each </t>
        </r>
        <r>
          <rPr>
            <b/>
            <sz val="9"/>
            <color indexed="81"/>
            <rFont val="Tahoma"/>
            <family val="2"/>
          </rPr>
          <t>Objective</t>
        </r>
      </text>
    </comment>
    <comment ref="I70" authorId="0" shapeId="0" xr:uid="{67635812-30C7-4EF3-8260-C566E1A4C4EB}">
      <text>
        <r>
          <rPr>
            <b/>
            <sz val="9"/>
            <color indexed="81"/>
            <rFont val="Tahoma"/>
            <family val="2"/>
          </rPr>
          <t>GFU:</t>
        </r>
        <r>
          <rPr>
            <sz val="9"/>
            <color indexed="81"/>
            <rFont val="Tahoma"/>
            <family val="2"/>
          </rPr>
          <t xml:space="preserve">
List all the direct costs related to each objective, except staff, equipment, staff travel. Describe the purpose of each </t>
        </r>
        <r>
          <rPr>
            <b/>
            <sz val="9"/>
            <color indexed="81"/>
            <rFont val="Tahoma"/>
            <family val="2"/>
          </rPr>
          <t>Objective</t>
        </r>
      </text>
    </comment>
    <comment ref="I88" authorId="0" shapeId="0" xr:uid="{10623C80-22D1-4AAB-8CE4-6A1A4A645E34}">
      <text>
        <r>
          <rPr>
            <b/>
            <sz val="9"/>
            <color indexed="81"/>
            <rFont val="Tahoma"/>
            <family val="2"/>
          </rPr>
          <t>GFU:</t>
        </r>
        <r>
          <rPr>
            <sz val="9"/>
            <color indexed="81"/>
            <rFont val="Tahoma"/>
            <family val="2"/>
          </rPr>
          <t xml:space="preserve">
List all </t>
        </r>
        <r>
          <rPr>
            <b/>
            <sz val="9"/>
            <color indexed="81"/>
            <rFont val="Tahoma"/>
            <family val="2"/>
          </rPr>
          <t>equipment</t>
        </r>
        <r>
          <rPr>
            <sz val="9"/>
            <color indexed="81"/>
            <rFont val="Tahoma"/>
            <family val="2"/>
          </rPr>
          <t xml:space="preserve"> purchases and what each will be used for </t>
        </r>
      </text>
    </comment>
    <comment ref="I102" authorId="0" shapeId="0" xr:uid="{A3FE8657-7E49-4285-89C4-670B4C720897}">
      <text>
        <r>
          <rPr>
            <b/>
            <sz val="9"/>
            <color indexed="81"/>
            <rFont val="Tahoma"/>
            <family val="2"/>
          </rPr>
          <t>GFU:</t>
        </r>
        <r>
          <rPr>
            <sz val="9"/>
            <color indexed="81"/>
            <rFont val="Tahoma"/>
            <family val="2"/>
          </rPr>
          <t xml:space="preserve">
All kinds of staff </t>
        </r>
        <r>
          <rPr>
            <b/>
            <sz val="9"/>
            <color indexed="81"/>
            <rFont val="Tahoma"/>
            <family val="2"/>
          </rPr>
          <t xml:space="preserve">international travel </t>
        </r>
        <r>
          <rPr>
            <sz val="9"/>
            <color indexed="81"/>
            <rFont val="Tahoma"/>
            <family val="2"/>
          </rPr>
          <t xml:space="preserve">costs, including vehicle rental, vehicle maintenance, vehicle fuel, flight tickets, car rental, food costs, accommodation, etc. </t>
        </r>
      </text>
    </comment>
    <comment ref="I112" authorId="0" shapeId="0" xr:uid="{A8DB23AF-91C5-42CC-873F-C8EABF67ECFE}">
      <text>
        <r>
          <rPr>
            <b/>
            <sz val="9"/>
            <color indexed="81"/>
            <rFont val="Tahoma"/>
            <family val="2"/>
          </rPr>
          <t>GFU: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Other operational costs</t>
        </r>
        <r>
          <rPr>
            <sz val="9"/>
            <color indexed="81"/>
            <rFont val="Tahoma"/>
            <family val="2"/>
          </rPr>
          <t xml:space="preserve"> such as : Bank fees and audit fees should be listed under this budget category. Include a justification of the estimated cost</t>
        </r>
      </text>
    </comment>
    <comment ref="I122" authorId="0" shapeId="0" xr:uid="{B38221D7-8910-46E6-B6EF-C4C3DDCADEBA}">
      <text>
        <r>
          <rPr>
            <b/>
            <sz val="9"/>
            <color indexed="81"/>
            <rFont val="Tahoma"/>
            <family val="2"/>
          </rPr>
          <t>GFU: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 kind</t>
        </r>
        <r>
          <rPr>
            <sz val="9"/>
            <color indexed="81"/>
            <rFont val="Tahoma"/>
            <family val="2"/>
          </rPr>
          <t xml:space="preserve"> donation value or matching funds to be used for project. </t>
        </r>
      </text>
    </comment>
  </commentList>
</comments>
</file>

<file path=xl/sharedStrings.xml><?xml version="1.0" encoding="utf-8"?>
<sst xmlns="http://schemas.openxmlformats.org/spreadsheetml/2006/main" count="395" uniqueCount="231">
  <si>
    <t xml:space="preserve">SUMMARY BUDGET </t>
  </si>
  <si>
    <t>SECTION</t>
  </si>
  <si>
    <t>DESCRIPTION</t>
  </si>
  <si>
    <t>TOTAL</t>
  </si>
  <si>
    <t>INCOME</t>
  </si>
  <si>
    <t>UMCOR Sources</t>
  </si>
  <si>
    <t>Other Grants</t>
  </si>
  <si>
    <t>Annual Conference - UMC</t>
  </si>
  <si>
    <t>Partner Annual Conference Contribution</t>
  </si>
  <si>
    <t>Ministry of Health/Government</t>
  </si>
  <si>
    <t>Local Churches and Individuals</t>
  </si>
  <si>
    <t>Others-In-Kind Donation/Matching Funds</t>
  </si>
  <si>
    <t>TOTAL INCOME</t>
  </si>
  <si>
    <t>SECTION A</t>
  </si>
  <si>
    <t>PROGRAM PERSONNEL</t>
  </si>
  <si>
    <t>SECTION B</t>
  </si>
  <si>
    <t>DIRECT PROGRAM COSTS</t>
  </si>
  <si>
    <t>SECTION C</t>
  </si>
  <si>
    <t>OTHER DIRECT PROGRAM COSTS</t>
  </si>
  <si>
    <t>Visibility &amp; Publication Costs</t>
  </si>
  <si>
    <t>Monitoring &amp; Evaluation Costs</t>
  </si>
  <si>
    <t>TOTAL DIRECT PROGRAM COSTS</t>
  </si>
  <si>
    <t>SECTION D</t>
  </si>
  <si>
    <t>PROGRAM SUPPORT COSTS</t>
  </si>
  <si>
    <t xml:space="preserve">SECTION D.1: </t>
  </si>
  <si>
    <t>SUPPORT PERSONNEL</t>
  </si>
  <si>
    <t xml:space="preserve">SECTION D.2:  </t>
  </si>
  <si>
    <t>EQUIPMENT</t>
  </si>
  <si>
    <t xml:space="preserve">SECTION D.3:  </t>
  </si>
  <si>
    <t>OFFICE RENTAL AND SUPPLIES</t>
  </si>
  <si>
    <t xml:space="preserve">SECTION D.4:  </t>
  </si>
  <si>
    <t>TRAVEL</t>
  </si>
  <si>
    <t xml:space="preserve">SECTION D.5:  </t>
  </si>
  <si>
    <t>COMMUNICATION</t>
  </si>
  <si>
    <t xml:space="preserve">SECTION D.6:  </t>
  </si>
  <si>
    <t>OTHER OPERATIONAL COSTS</t>
  </si>
  <si>
    <t>TOTAL PROGRAM SUPPORT COSTS</t>
  </si>
  <si>
    <t>SECTION E</t>
  </si>
  <si>
    <t>IN-KIND/MATCHING FUNDS</t>
  </si>
  <si>
    <t>TOTAL PROJECT COST</t>
  </si>
  <si>
    <t>NET INCOME (TOTAL INCOME - TOTAL EXPENSE)</t>
  </si>
  <si>
    <t>Church World Service</t>
  </si>
  <si>
    <t xml:space="preserve">DETAIL BUDGET </t>
  </si>
  <si>
    <t>Project Title: CWS 2025 Ukraine Response Program – Serbia and Moldova</t>
  </si>
  <si>
    <t>CODE</t>
  </si>
  <si>
    <t>APPROVED INCOME</t>
  </si>
  <si>
    <t>UMCOR</t>
  </si>
  <si>
    <t>BUDGET DESCRIPTION</t>
  </si>
  <si>
    <t>UNIT MEASURE</t>
  </si>
  <si>
    <t>QUANTITY</t>
  </si>
  <si>
    <t>UNIT COST</t>
  </si>
  <si>
    <t>FREQUENCY/#MONTH/    DAY</t>
  </si>
  <si>
    <t>BUDGET NOTES</t>
  </si>
  <si>
    <t>SECTION A:  PROGRAM PERSONNEL</t>
  </si>
  <si>
    <t xml:space="preserve">Position </t>
  </si>
  <si>
    <t>SECTION B:  DIRECT PROGRAM COSTS</t>
  </si>
  <si>
    <t xml:space="preserve">Objective 1: To meet basic needs of refugees and migrants affected </t>
  </si>
  <si>
    <t>Sub-Total: Objective 1</t>
  </si>
  <si>
    <t>Objective 2: Cash Assistance</t>
  </si>
  <si>
    <t>Person/FTE</t>
  </si>
  <si>
    <t>Month</t>
  </si>
  <si>
    <t>Sub-Total: Objective 2</t>
  </si>
  <si>
    <t xml:space="preserve">Objective 3: To provide shelter assistance for vulnerable refugees and migrants in need of short-term accommodation. </t>
  </si>
  <si>
    <t>Sub-Total: Objective 3</t>
  </si>
  <si>
    <t>Objective 4: Psychosocial, Counseling &amp; Medical</t>
  </si>
  <si>
    <t>PRG21</t>
  </si>
  <si>
    <t>PRG22</t>
  </si>
  <si>
    <t>PRG23</t>
  </si>
  <si>
    <t>PRG24</t>
  </si>
  <si>
    <t>PRG25</t>
  </si>
  <si>
    <t>PRG26</t>
  </si>
  <si>
    <t>PRG27</t>
  </si>
  <si>
    <t>PRG29</t>
  </si>
  <si>
    <t>Event</t>
  </si>
  <si>
    <t>Sub-Total: Objective 4</t>
  </si>
  <si>
    <t>Objective 5: Legal Assistance</t>
  </si>
  <si>
    <t>PRG40</t>
  </si>
  <si>
    <t>PRG41</t>
  </si>
  <si>
    <t>Sub-Total: Objective 5</t>
  </si>
  <si>
    <t>Objective 7: Case Management</t>
  </si>
  <si>
    <t>Sub-Total: Objective 7</t>
  </si>
  <si>
    <t xml:space="preserve">TOTAL DIRECT PROGRAM COSTS </t>
  </si>
  <si>
    <t>SECTION C:  OTHER DIRECT PROGRAM COSTS</t>
  </si>
  <si>
    <t>Lump sum</t>
  </si>
  <si>
    <t>Sub-Total: Visibility &amp; Publication</t>
  </si>
  <si>
    <t xml:space="preserve">Sub-Total: Monitoring &amp; Evaluation </t>
  </si>
  <si>
    <t xml:space="preserve">TOTAL OTHER DIRECT PROGRAM COSTS </t>
  </si>
  <si>
    <t>TOTAL PROGRAM COSTS (A, B, &amp; C):</t>
  </si>
  <si>
    <t>SECTION D:  PROGRAM SUPPORT COSTS</t>
  </si>
  <si>
    <t>Support Personnel</t>
  </si>
  <si>
    <t>Sub-Total: Support Personnel</t>
  </si>
  <si>
    <t>Equipment</t>
  </si>
  <si>
    <t>ADM32</t>
  </si>
  <si>
    <t>Sub-Total:  Equipment</t>
  </si>
  <si>
    <t>Office Rental and Supplies</t>
  </si>
  <si>
    <t>ADM45</t>
  </si>
  <si>
    <t>ADM46</t>
  </si>
  <si>
    <t>Sub-Total: Office Rental and Supplies</t>
  </si>
  <si>
    <t>Travel</t>
  </si>
  <si>
    <t>Domestic</t>
  </si>
  <si>
    <t>ADM54</t>
  </si>
  <si>
    <t>ADM55</t>
  </si>
  <si>
    <t>ADM62</t>
  </si>
  <si>
    <t>Sub-Total:  Travel</t>
  </si>
  <si>
    <t>Communication</t>
  </si>
  <si>
    <t>ADM73</t>
  </si>
  <si>
    <t>ADM74</t>
  </si>
  <si>
    <t>Sub-Total:  Communication</t>
  </si>
  <si>
    <t>Other Operational Costs</t>
  </si>
  <si>
    <t>ADM85</t>
  </si>
  <si>
    <t>ADM86</t>
  </si>
  <si>
    <t>Sub-Total:  Other Operational Costs</t>
  </si>
  <si>
    <t>TOTAL GRANT BUDGET  (A, B, C &amp; D):</t>
  </si>
  <si>
    <t>IN-KIND DONATION/MATCHING FUNDS</t>
  </si>
  <si>
    <t>IKD1</t>
  </si>
  <si>
    <t>IKD2</t>
  </si>
  <si>
    <t>IKD3</t>
  </si>
  <si>
    <t>IKD4</t>
  </si>
  <si>
    <t>IKD5</t>
  </si>
  <si>
    <t>IKD6</t>
  </si>
  <si>
    <t>IKD7</t>
  </si>
  <si>
    <t>IKD8</t>
  </si>
  <si>
    <t>IKD9</t>
  </si>
  <si>
    <t>IKD10</t>
  </si>
  <si>
    <t>TOTAL IN-KIND DONATION/MATCHING FUNDS</t>
  </si>
  <si>
    <t>TOTAL PROJECT COSTS (A, B, C, D, &amp; E):</t>
  </si>
  <si>
    <t>SUMMARY REPORT</t>
  </si>
  <si>
    <t>BALANCE</t>
  </si>
  <si>
    <t>GRA</t>
  </si>
  <si>
    <t>ANC</t>
  </si>
  <si>
    <t>PAC</t>
  </si>
  <si>
    <t>MoH</t>
  </si>
  <si>
    <t>LC</t>
  </si>
  <si>
    <t>OTH</t>
  </si>
  <si>
    <t>A.1</t>
  </si>
  <si>
    <t>B.1</t>
  </si>
  <si>
    <t>B.2</t>
  </si>
  <si>
    <t>B.3</t>
  </si>
  <si>
    <t>B.4</t>
  </si>
  <si>
    <t>B.5</t>
  </si>
  <si>
    <t>C.1</t>
  </si>
  <si>
    <t>C.2</t>
  </si>
  <si>
    <t>D.1</t>
  </si>
  <si>
    <t>D.2</t>
  </si>
  <si>
    <t>D.3</t>
  </si>
  <si>
    <t>D.4</t>
  </si>
  <si>
    <t>D.5</t>
  </si>
  <si>
    <t>D.6</t>
  </si>
  <si>
    <t>TOTAL UMCOR GRANT BUDGET</t>
  </si>
  <si>
    <t>E.1</t>
  </si>
  <si>
    <t>TOTAL PROGRAM COST</t>
  </si>
  <si>
    <t>FINANCIAL REPORT</t>
  </si>
  <si>
    <t>FUNDS RECEIVED PERIOD 1</t>
  </si>
  <si>
    <t>FUNDS RECEIVED PERIOD 2</t>
  </si>
  <si>
    <t>FUNDS RECEIVED PERIOD 3</t>
  </si>
  <si>
    <t>TOTAL USD</t>
  </si>
  <si>
    <t>BALANCE USD</t>
  </si>
  <si>
    <t>APPROVED BUDGET USD</t>
  </si>
  <si>
    <t>EXPENSES PERIOD 1 USD</t>
  </si>
  <si>
    <t>EXPENSES PERIOD 2 USD</t>
  </si>
  <si>
    <t>EXPENSES PERIOD 3 USD</t>
  </si>
  <si>
    <t>TOTAL EXPENSES USD</t>
  </si>
  <si>
    <t xml:space="preserve">TOTAL PROGRAM PERSONNEL </t>
  </si>
  <si>
    <t>Sub-Total:  Office Rental and Supplies</t>
  </si>
  <si>
    <t xml:space="preserve">Domestic </t>
  </si>
  <si>
    <t xml:space="preserve">International </t>
  </si>
  <si>
    <t xml:space="preserve">TOTAL PROGRAM SUPPORT COSTS </t>
  </si>
  <si>
    <t>TOTAL UMCOR GRANT BUDGET  (A, B, C &amp; D):</t>
  </si>
  <si>
    <t>TOTAL PROGRAM BUDGET (A,B,C,D &amp; E)</t>
  </si>
  <si>
    <t>Project Period: 1 Jan 2025 to 31 Dec 2025</t>
  </si>
  <si>
    <t>Rev. 3/23</t>
  </si>
  <si>
    <t>PRG42</t>
  </si>
  <si>
    <t>PRG55</t>
  </si>
  <si>
    <t>PRG56</t>
  </si>
  <si>
    <t>PRG71</t>
  </si>
  <si>
    <t>ADM2</t>
  </si>
  <si>
    <t>ADM11</t>
  </si>
  <si>
    <t>ADM24</t>
  </si>
  <si>
    <t>ADM31</t>
  </si>
  <si>
    <t>ADM61</t>
  </si>
  <si>
    <t>ADM83</t>
  </si>
  <si>
    <t>Зарплата юриста центра ZG -Молдова</t>
  </si>
  <si>
    <t>0.125 FTE, 1 позиция. Обеспечивает соблюдение всех применимых законов и нормативных актов.</t>
  </si>
  <si>
    <t>Расходы на коммунальные услуги ZG -Молдова</t>
  </si>
  <si>
    <t>Свет, вода, тепло, интернет</t>
  </si>
  <si>
    <t>ZG аренда -Молдова</t>
  </si>
  <si>
    <t>Ежемесячная стоимость аренды помещения в центре программы</t>
  </si>
  <si>
    <t>ZG Чистящие средства -Молдова</t>
  </si>
  <si>
    <t>Чистящие средства для ZG</t>
  </si>
  <si>
    <t>ZG питьевая вода -Молдова</t>
  </si>
  <si>
    <t>Для сотрудников и клиентов</t>
  </si>
  <si>
    <t>Канцелярские и кухонные принадлежности ZG -Молдова</t>
  </si>
  <si>
    <t>Печать обязательных государственных чеков для каждого получателя, кофейных чашек и т. д.</t>
  </si>
  <si>
    <t>Гибкое финансирование  кейс менеджмент-Молдова</t>
  </si>
  <si>
    <t>Покрытие потребностей, определенных в СМ - профессиональное обучение, жилье, питание, лекарства и т.д.</t>
  </si>
  <si>
    <t>0,25 FTE, 1 позиция. Оказывает медицинские услуги участникам программы. Михайл</t>
  </si>
  <si>
    <t>Психологи</t>
  </si>
  <si>
    <t>0,75 FTE, 2 позиции. Проводит индивидуальные и групповые психологические сессии для участников программы.</t>
  </si>
  <si>
    <t>Программа вовлечения молодежи</t>
  </si>
  <si>
    <t>Материалы, аренда помещений, питание для молодежи MHPSS и мероприятия по социальной интеграции</t>
  </si>
  <si>
    <t>ZG Мастер-классы</t>
  </si>
  <si>
    <t>Материалы (например: яйца, краска, кисти для пасхальных яиц), оборудование</t>
  </si>
  <si>
    <t>Зарплата кейс-менеджеров</t>
  </si>
  <si>
    <t>Обслуживание и хостинг сайта - Moldova</t>
  </si>
  <si>
    <t>Плата за хостинг, связанная с платой за веб-сайт и коммуникации (Google Workspace)</t>
  </si>
  <si>
    <t>Плата за услугу по поддержке сайта и базы данных</t>
  </si>
  <si>
    <t>Обслуживание и обновление портала/базы данных (Саша и Дима)</t>
  </si>
  <si>
    <t>Зарплата бухгалтера ZG - Молдова</t>
  </si>
  <si>
    <t xml:space="preserve">Топливо, ремонт автомобиля </t>
  </si>
  <si>
    <t>Ежемесячно</t>
  </si>
  <si>
    <t>Банковские комиссии - Молдова</t>
  </si>
  <si>
    <t>Комиссии за международные переводы и обмен валюты.</t>
  </si>
  <si>
    <t xml:space="preserve">0,5 FTE, одна позиция. Планирует и курирует программу интеграции молодежи через спорт. Сергей </t>
  </si>
  <si>
    <t>Супервайзер - Молдова</t>
  </si>
  <si>
    <t>Медиа-координатор по информационному сопровождению и работе с молодёжью (Илья)</t>
  </si>
  <si>
    <t xml:space="preserve">1,0 FTE, 1 позициия (Илья). Отвечает за создание и публикацию контента в Instagram и Facebook, готовит анонсы мероприятий, помогает в подготовке опросников, взаимодействует с молодёжью и участвует в организации мероприятий. </t>
  </si>
  <si>
    <t>1.0 FTE, 1 позиция. Ведет бухгалтерский учет для СМ и МХПСС в «Здоровом городе». (Рома)</t>
  </si>
  <si>
    <t xml:space="preserve">Экстренный бюджет </t>
  </si>
  <si>
    <t xml:space="preserve">Закупка оборудования при поломке, замена оборудования, комплектующих, расходники центра </t>
  </si>
  <si>
    <t>0,75 FTE, 3 позиций. Предоставляет комплексные услуги по ведению дел. (Девушки). 1 позиция 0,80 FTE (Настя) будет ответствена за анонсы, обратную связь/ Обновление информации на "Dopomoga"</t>
  </si>
  <si>
    <t>Хозяйственные работники центра</t>
  </si>
  <si>
    <t>1.0 FTE, 2 позиции (Андрей). Обеспечивает материально-техническую поддержку: доставка необходимых товаров (вода, кофе, печенье), мелкие ремонты, транспортировка, обслуживание центра, поддержание порядка и устранение технических неисправностей;  (Виорика) Уборка помещений центра, проведение мастер классов для детей.</t>
  </si>
  <si>
    <t xml:space="preserve">Дата начала: 1 Февраль 2026 </t>
  </si>
  <si>
    <t>Дата окончания: 1 Август 2026</t>
  </si>
  <si>
    <t>2 позиция. Контролирует MHPSS (1.0 FTE) Будулай; Курирует ведение дел (0.9 FTE) Валя</t>
  </si>
  <si>
    <t>PRG30</t>
  </si>
  <si>
    <t>PRG11</t>
  </si>
  <si>
    <t>Закупка/Выдача Ваучеров / Vouchers</t>
  </si>
  <si>
    <t>Врач ZG</t>
  </si>
  <si>
    <t xml:space="preserve">Специалист по работе с молождежью / Фасилитатор спортивных программ </t>
  </si>
  <si>
    <t>Закупка ваучеров METRO (300 MDL/Ваучер), планируется выдать 281 ваучер в течении 6 месяцев проектной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</si>
</sst>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#,##0.0"/>
  </numFmts>
  <fonts count="23" x14ac:knownFonts="1">
    <font>
      <sz val="10"/>
      <name val="Arial"/>
    </font>
    <font>
      <sz val="11"/>
      <color theme="1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sz val="9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9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6" xfId="0" applyFont="1" applyBorder="1"/>
    <xf numFmtId="166" fontId="2" fillId="0" borderId="0" xfId="5" applyNumberFormat="1" applyFont="1"/>
    <xf numFmtId="3" fontId="4" fillId="0" borderId="8" xfId="0" applyNumberFormat="1" applyFont="1" applyBorder="1"/>
    <xf numFmtId="0" fontId="2" fillId="0" borderId="15" xfId="0" applyFont="1" applyBorder="1"/>
    <xf numFmtId="166" fontId="2" fillId="0" borderId="15" xfId="5" applyNumberFormat="1" applyFont="1" applyBorder="1"/>
    <xf numFmtId="166" fontId="2" fillId="0" borderId="0" xfId="5" applyNumberFormat="1" applyFont="1" applyBorder="1"/>
    <xf numFmtId="0" fontId="4" fillId="0" borderId="13" xfId="0" applyFont="1" applyBorder="1"/>
    <xf numFmtId="0" fontId="4" fillId="0" borderId="14" xfId="0" applyFont="1" applyBorder="1"/>
    <xf numFmtId="0" fontId="10" fillId="0" borderId="6" xfId="0" applyFont="1" applyBorder="1"/>
    <xf numFmtId="0" fontId="10" fillId="0" borderId="0" xfId="0" applyFont="1"/>
    <xf numFmtId="0" fontId="11" fillId="0" borderId="4" xfId="0" applyFont="1" applyBorder="1" applyAlignment="1">
      <alignment horizontal="center"/>
    </xf>
    <xf numFmtId="0" fontId="10" fillId="0" borderId="13" xfId="0" applyFont="1" applyBorder="1"/>
    <xf numFmtId="0" fontId="10" fillId="0" borderId="14" xfId="0" applyFont="1" applyBorder="1"/>
    <xf numFmtId="0" fontId="10" fillId="0" borderId="12" xfId="0" applyFont="1" applyBorder="1" applyAlignment="1">
      <alignment horizontal="center"/>
    </xf>
    <xf numFmtId="3" fontId="2" fillId="0" borderId="4" xfId="0" applyNumberFormat="1" applyFont="1" applyBorder="1"/>
    <xf numFmtId="3" fontId="4" fillId="0" borderId="34" xfId="0" applyNumberFormat="1" applyFont="1" applyBorder="1" applyAlignment="1">
      <alignment vertical="center"/>
    </xf>
    <xf numFmtId="3" fontId="2" fillId="0" borderId="18" xfId="0" applyNumberFormat="1" applyFont="1" applyBorder="1" applyAlignment="1">
      <alignment horizontal="center"/>
    </xf>
    <xf numFmtId="3" fontId="2" fillId="3" borderId="2" xfId="0" applyNumberFormat="1" applyFont="1" applyFill="1" applyBorder="1"/>
    <xf numFmtId="3" fontId="17" fillId="0" borderId="18" xfId="0" applyNumberFormat="1" applyFont="1" applyBorder="1"/>
    <xf numFmtId="3" fontId="4" fillId="7" borderId="0" xfId="0" applyNumberFormat="1" applyFont="1" applyFill="1" applyAlignment="1">
      <alignment horizontal="right"/>
    </xf>
    <xf numFmtId="3" fontId="2" fillId="0" borderId="18" xfId="0" applyNumberFormat="1" applyFont="1" applyBorder="1"/>
    <xf numFmtId="3" fontId="4" fillId="2" borderId="18" xfId="0" applyNumberFormat="1" applyFont="1" applyFill="1" applyBorder="1"/>
    <xf numFmtId="3" fontId="2" fillId="2" borderId="0" xfId="0" applyNumberFormat="1" applyFont="1" applyFill="1"/>
    <xf numFmtId="3" fontId="17" fillId="0" borderId="18" xfId="0" applyNumberFormat="1" applyFont="1" applyBorder="1" applyAlignment="1">
      <alignment horizontal="center"/>
    </xf>
    <xf numFmtId="3" fontId="4" fillId="0" borderId="0" xfId="0" applyNumberFormat="1" applyFont="1"/>
    <xf numFmtId="3" fontId="2" fillId="6" borderId="0" xfId="0" applyNumberFormat="1" applyFont="1" applyFill="1" applyAlignment="1">
      <alignment horizontal="right"/>
    </xf>
    <xf numFmtId="3" fontId="18" fillId="0" borderId="18" xfId="0" applyNumberFormat="1" applyFont="1" applyBorder="1" applyAlignment="1">
      <alignment horizontal="center"/>
    </xf>
    <xf numFmtId="3" fontId="2" fillId="0" borderId="23" xfId="0" applyNumberFormat="1" applyFont="1" applyBorder="1" applyAlignment="1">
      <alignment horizontal="center"/>
    </xf>
    <xf numFmtId="3" fontId="4" fillId="8" borderId="24" xfId="0" applyNumberFormat="1" applyFont="1" applyFill="1" applyBorder="1" applyAlignment="1">
      <alignment horizontal="right"/>
    </xf>
    <xf numFmtId="3" fontId="4" fillId="2" borderId="16" xfId="0" applyNumberFormat="1" applyFont="1" applyFill="1" applyBorder="1"/>
    <xf numFmtId="3" fontId="2" fillId="2" borderId="17" xfId="0" applyNumberFormat="1" applyFont="1" applyFill="1" applyBorder="1"/>
    <xf numFmtId="3" fontId="4" fillId="0" borderId="18" xfId="0" applyNumberFormat="1" applyFont="1" applyBorder="1"/>
    <xf numFmtId="3" fontId="2" fillId="0" borderId="18" xfId="0" applyNumberFormat="1" applyFont="1" applyBorder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/>
    </xf>
    <xf numFmtId="3" fontId="4" fillId="7" borderId="0" xfId="0" applyNumberFormat="1" applyFont="1" applyFill="1"/>
    <xf numFmtId="3" fontId="4" fillId="8" borderId="0" xfId="0" applyNumberFormat="1" applyFont="1" applyFill="1" applyAlignment="1">
      <alignment horizontal="right"/>
    </xf>
    <xf numFmtId="3" fontId="2" fillId="7" borderId="0" xfId="0" applyNumberFormat="1" applyFont="1" applyFill="1" applyAlignment="1">
      <alignment horizontal="right"/>
    </xf>
    <xf numFmtId="3" fontId="4" fillId="8" borderId="0" xfId="0" applyNumberFormat="1" applyFont="1" applyFill="1" applyAlignment="1">
      <alignment horizontal="left"/>
    </xf>
    <xf numFmtId="3" fontId="4" fillId="9" borderId="23" xfId="0" applyNumberFormat="1" applyFont="1" applyFill="1" applyBorder="1"/>
    <xf numFmtId="3" fontId="4" fillId="9" borderId="24" xfId="0" applyNumberFormat="1" applyFont="1" applyFill="1" applyBorder="1"/>
    <xf numFmtId="3" fontId="4" fillId="0" borderId="3" xfId="0" applyNumberFormat="1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3" fontId="4" fillId="0" borderId="28" xfId="0" applyNumberFormat="1" applyFont="1" applyBorder="1" applyAlignment="1">
      <alignment horizontal="center" vertical="center" wrapText="1"/>
    </xf>
    <xf numFmtId="3" fontId="4" fillId="4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34" xfId="0" applyNumberFormat="1" applyFont="1" applyBorder="1" applyAlignment="1">
      <alignment horizontal="center"/>
    </xf>
    <xf numFmtId="3" fontId="4" fillId="0" borderId="34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37" fontId="2" fillId="0" borderId="4" xfId="5" applyNumberFormat="1" applyFont="1" applyBorder="1"/>
    <xf numFmtId="37" fontId="4" fillId="0" borderId="11" xfId="5" applyNumberFormat="1" applyFont="1" applyBorder="1"/>
    <xf numFmtId="37" fontId="2" fillId="0" borderId="5" xfId="5" applyNumberFormat="1" applyFont="1" applyBorder="1"/>
    <xf numFmtId="37" fontId="4" fillId="0" borderId="12" xfId="5" applyNumberFormat="1" applyFont="1" applyBorder="1"/>
    <xf numFmtId="3" fontId="2" fillId="0" borderId="4" xfId="5" applyNumberFormat="1" applyFont="1" applyBorder="1" applyProtection="1"/>
    <xf numFmtId="3" fontId="4" fillId="0" borderId="11" xfId="5" applyNumberFormat="1" applyFont="1" applyBorder="1" applyProtection="1"/>
    <xf numFmtId="3" fontId="4" fillId="0" borderId="4" xfId="5" applyNumberFormat="1" applyFont="1" applyBorder="1" applyProtection="1"/>
    <xf numFmtId="3" fontId="4" fillId="0" borderId="28" xfId="5" applyNumberFormat="1" applyFont="1" applyBorder="1" applyProtection="1"/>
    <xf numFmtId="3" fontId="4" fillId="0" borderId="9" xfId="5" applyNumberFormat="1" applyFont="1" applyBorder="1" applyProtection="1"/>
    <xf numFmtId="3" fontId="2" fillId="0" borderId="5" xfId="5" applyNumberFormat="1" applyFont="1" applyBorder="1" applyProtection="1"/>
    <xf numFmtId="3" fontId="4" fillId="0" borderId="12" xfId="5" applyNumberFormat="1" applyFont="1" applyBorder="1" applyProtection="1"/>
    <xf numFmtId="3" fontId="2" fillId="0" borderId="27" xfId="6" applyNumberFormat="1" applyFont="1" applyBorder="1" applyAlignment="1" applyProtection="1">
      <alignment horizontal="right" indent="1"/>
    </xf>
    <xf numFmtId="3" fontId="2" fillId="0" borderId="4" xfId="6" applyNumberFormat="1" applyFont="1" applyBorder="1" applyAlignment="1" applyProtection="1">
      <alignment horizontal="right" indent="1"/>
    </xf>
    <xf numFmtId="3" fontId="2" fillId="0" borderId="6" xfId="6" applyNumberFormat="1" applyFont="1" applyBorder="1" applyAlignment="1" applyProtection="1">
      <alignment horizontal="right" indent="1"/>
    </xf>
    <xf numFmtId="3" fontId="2" fillId="0" borderId="20" xfId="6" applyNumberFormat="1" applyFont="1" applyBorder="1" applyAlignment="1" applyProtection="1">
      <alignment horizontal="right" indent="1"/>
    </xf>
    <xf numFmtId="3" fontId="4" fillId="7" borderId="28" xfId="6" applyNumberFormat="1" applyFont="1" applyFill="1" applyBorder="1" applyAlignment="1" applyProtection="1">
      <alignment horizontal="right" indent="1"/>
    </xf>
    <xf numFmtId="3" fontId="2" fillId="0" borderId="31" xfId="6" applyNumberFormat="1" applyFont="1" applyBorder="1" applyAlignment="1" applyProtection="1">
      <alignment horizontal="right" indent="1"/>
    </xf>
    <xf numFmtId="3" fontId="2" fillId="0" borderId="32" xfId="6" applyNumberFormat="1" applyFont="1" applyBorder="1" applyAlignment="1" applyProtection="1">
      <alignment horizontal="right" indent="1"/>
    </xf>
    <xf numFmtId="3" fontId="2" fillId="0" borderId="39" xfId="6" applyNumberFormat="1" applyFont="1" applyBorder="1" applyAlignment="1" applyProtection="1">
      <alignment horizontal="right" indent="1"/>
    </xf>
    <xf numFmtId="3" fontId="2" fillId="0" borderId="33" xfId="6" applyNumberFormat="1" applyFont="1" applyBorder="1" applyAlignment="1" applyProtection="1">
      <alignment horizontal="right" indent="1"/>
    </xf>
    <xf numFmtId="3" fontId="2" fillId="4" borderId="4" xfId="6" applyNumberFormat="1" applyFont="1" applyFill="1" applyBorder="1" applyAlignment="1" applyProtection="1">
      <alignment horizontal="right" indent="1"/>
    </xf>
    <xf numFmtId="3" fontId="2" fillId="4" borderId="6" xfId="6" applyNumberFormat="1" applyFont="1" applyFill="1" applyBorder="1" applyAlignment="1" applyProtection="1">
      <alignment horizontal="right" indent="1"/>
    </xf>
    <xf numFmtId="3" fontId="2" fillId="4" borderId="20" xfId="6" applyNumberFormat="1" applyFont="1" applyFill="1" applyBorder="1" applyAlignment="1" applyProtection="1">
      <alignment horizontal="right" indent="1"/>
    </xf>
    <xf numFmtId="3" fontId="2" fillId="6" borderId="25" xfId="6" applyNumberFormat="1" applyFont="1" applyFill="1" applyBorder="1" applyAlignment="1" applyProtection="1">
      <alignment horizontal="right" indent="1"/>
    </xf>
    <xf numFmtId="3" fontId="2" fillId="0" borderId="26" xfId="6" applyNumberFormat="1" applyFont="1" applyBorder="1" applyAlignment="1" applyProtection="1">
      <alignment horizontal="right" indent="1"/>
    </xf>
    <xf numFmtId="3" fontId="2" fillId="4" borderId="10" xfId="6" applyNumberFormat="1" applyFont="1" applyFill="1" applyBorder="1" applyAlignment="1" applyProtection="1">
      <alignment horizontal="right" indent="1"/>
    </xf>
    <xf numFmtId="3" fontId="2" fillId="4" borderId="7" xfId="6" applyNumberFormat="1" applyFont="1" applyFill="1" applyBorder="1" applyAlignment="1" applyProtection="1">
      <alignment horizontal="right" indent="1"/>
    </xf>
    <xf numFmtId="3" fontId="2" fillId="4" borderId="22" xfId="6" applyNumberFormat="1" applyFont="1" applyFill="1" applyBorder="1" applyAlignment="1" applyProtection="1">
      <alignment horizontal="right" indent="1"/>
    </xf>
    <xf numFmtId="3" fontId="4" fillId="8" borderId="28" xfId="6" applyNumberFormat="1" applyFont="1" applyFill="1" applyBorder="1" applyAlignment="1" applyProtection="1">
      <alignment horizontal="right" indent="1"/>
    </xf>
    <xf numFmtId="3" fontId="2" fillId="0" borderId="27" xfId="6" applyNumberFormat="1" applyFont="1" applyFill="1" applyBorder="1" applyAlignment="1" applyProtection="1">
      <alignment horizontal="right" indent="1"/>
    </xf>
    <xf numFmtId="3" fontId="2" fillId="0" borderId="4" xfId="6" applyNumberFormat="1" applyFont="1" applyFill="1" applyBorder="1" applyAlignment="1" applyProtection="1">
      <alignment horizontal="right" indent="1"/>
    </xf>
    <xf numFmtId="3" fontId="2" fillId="0" borderId="6" xfId="6" applyNumberFormat="1" applyFont="1" applyFill="1" applyBorder="1" applyAlignment="1" applyProtection="1">
      <alignment horizontal="right" indent="1"/>
    </xf>
    <xf numFmtId="3" fontId="2" fillId="0" borderId="20" xfId="6" applyNumberFormat="1" applyFont="1" applyFill="1" applyBorder="1" applyAlignment="1" applyProtection="1">
      <alignment horizontal="right" indent="1"/>
    </xf>
    <xf numFmtId="3" fontId="4" fillId="0" borderId="20" xfId="6" applyNumberFormat="1" applyFont="1" applyFill="1" applyBorder="1" applyAlignment="1" applyProtection="1">
      <alignment horizontal="right" indent="1"/>
    </xf>
    <xf numFmtId="3" fontId="2" fillId="0" borderId="28" xfId="6" applyNumberFormat="1" applyFont="1" applyBorder="1" applyAlignment="1" applyProtection="1">
      <alignment horizontal="right" indent="1"/>
    </xf>
    <xf numFmtId="3" fontId="2" fillId="4" borderId="11" xfId="6" applyNumberFormat="1" applyFont="1" applyFill="1" applyBorder="1" applyAlignment="1" applyProtection="1">
      <alignment horizontal="right" indent="1"/>
    </xf>
    <xf numFmtId="3" fontId="2" fillId="4" borderId="38" xfId="6" applyNumberFormat="1" applyFont="1" applyFill="1" applyBorder="1" applyAlignment="1" applyProtection="1">
      <alignment horizontal="right" indent="1"/>
    </xf>
    <xf numFmtId="3" fontId="2" fillId="4" borderId="9" xfId="6" applyNumberFormat="1" applyFont="1" applyFill="1" applyBorder="1" applyAlignment="1" applyProtection="1">
      <alignment horizontal="right" indent="1"/>
    </xf>
    <xf numFmtId="3" fontId="2" fillId="7" borderId="28" xfId="6" applyNumberFormat="1" applyFont="1" applyFill="1" applyBorder="1" applyAlignment="1" applyProtection="1">
      <alignment horizontal="right" indent="1"/>
    </xf>
    <xf numFmtId="3" fontId="2" fillId="0" borderId="8" xfId="6" applyNumberFormat="1" applyFont="1" applyFill="1" applyBorder="1" applyAlignment="1" applyProtection="1">
      <alignment horizontal="right" indent="1"/>
    </xf>
    <xf numFmtId="3" fontId="2" fillId="0" borderId="0" xfId="6" applyNumberFormat="1" applyFont="1" applyFill="1" applyBorder="1" applyAlignment="1" applyProtection="1">
      <alignment horizontal="right" indent="1"/>
    </xf>
    <xf numFmtId="3" fontId="4" fillId="8" borderId="27" xfId="6" applyNumberFormat="1" applyFont="1" applyFill="1" applyBorder="1" applyAlignment="1" applyProtection="1">
      <alignment horizontal="right" indent="1"/>
    </xf>
    <xf numFmtId="3" fontId="4" fillId="8" borderId="8" xfId="6" applyNumberFormat="1" applyFont="1" applyFill="1" applyBorder="1" applyAlignment="1" applyProtection="1">
      <alignment horizontal="right" indent="1"/>
    </xf>
    <xf numFmtId="3" fontId="4" fillId="8" borderId="0" xfId="6" applyNumberFormat="1" applyFont="1" applyFill="1" applyBorder="1" applyAlignment="1" applyProtection="1">
      <alignment horizontal="right" indent="1"/>
    </xf>
    <xf numFmtId="3" fontId="4" fillId="9" borderId="28" xfId="6" applyNumberFormat="1" applyFont="1" applyFill="1" applyBorder="1" applyAlignment="1" applyProtection="1">
      <alignment horizontal="right" indent="1"/>
    </xf>
    <xf numFmtId="3" fontId="2" fillId="0" borderId="27" xfId="6" applyNumberFormat="1" applyFont="1" applyBorder="1" applyAlignment="1" applyProtection="1">
      <alignment horizontal="right"/>
    </xf>
    <xf numFmtId="3" fontId="2" fillId="0" borderId="4" xfId="6" applyNumberFormat="1" applyFont="1" applyBorder="1" applyAlignment="1" applyProtection="1">
      <alignment horizontal="right"/>
    </xf>
    <xf numFmtId="3" fontId="4" fillId="6" borderId="28" xfId="6" applyNumberFormat="1" applyFont="1" applyFill="1" applyBorder="1" applyAlignment="1" applyProtection="1">
      <alignment horizontal="right"/>
    </xf>
    <xf numFmtId="3" fontId="4" fillId="6" borderId="11" xfId="6" applyNumberFormat="1" applyFont="1" applyFill="1" applyBorder="1" applyAlignment="1" applyProtection="1">
      <alignment horizontal="right"/>
    </xf>
    <xf numFmtId="3" fontId="4" fillId="6" borderId="9" xfId="6" applyNumberFormat="1" applyFont="1" applyFill="1" applyBorder="1" applyAlignment="1" applyProtection="1">
      <alignment horizontal="right"/>
    </xf>
    <xf numFmtId="3" fontId="2" fillId="0" borderId="6" xfId="6" applyNumberFormat="1" applyFont="1" applyBorder="1" applyAlignment="1" applyProtection="1">
      <alignment horizontal="right"/>
    </xf>
    <xf numFmtId="3" fontId="2" fillId="0" borderId="20" xfId="6" applyNumberFormat="1" applyFont="1" applyBorder="1" applyAlignment="1" applyProtection="1">
      <alignment horizontal="right"/>
    </xf>
    <xf numFmtId="3" fontId="4" fillId="6" borderId="38" xfId="6" applyNumberFormat="1" applyFont="1" applyFill="1" applyBorder="1" applyAlignment="1" applyProtection="1">
      <alignment horizontal="right"/>
    </xf>
    <xf numFmtId="3" fontId="2" fillId="0" borderId="43" xfId="0" applyNumberFormat="1" applyFont="1" applyBorder="1"/>
    <xf numFmtId="3" fontId="2" fillId="0" borderId="44" xfId="0" applyNumberFormat="1" applyFont="1" applyBorder="1"/>
    <xf numFmtId="3" fontId="2" fillId="0" borderId="8" xfId="0" applyNumberFormat="1" applyFont="1" applyBorder="1"/>
    <xf numFmtId="3" fontId="2" fillId="0" borderId="45" xfId="0" applyNumberFormat="1" applyFont="1" applyBorder="1"/>
    <xf numFmtId="3" fontId="2" fillId="0" borderId="46" xfId="0" applyNumberFormat="1" applyFont="1" applyBorder="1"/>
    <xf numFmtId="3" fontId="4" fillId="0" borderId="47" xfId="0" applyNumberFormat="1" applyFont="1" applyBorder="1" applyAlignment="1">
      <alignment horizontal="left"/>
    </xf>
    <xf numFmtId="3" fontId="2" fillId="0" borderId="11" xfId="0" applyNumberFormat="1" applyFont="1" applyBorder="1"/>
    <xf numFmtId="3" fontId="4" fillId="9" borderId="3" xfId="0" applyNumberFormat="1" applyFont="1" applyFill="1" applyBorder="1"/>
    <xf numFmtId="3" fontId="4" fillId="9" borderId="34" xfId="0" applyNumberFormat="1" applyFont="1" applyFill="1" applyBorder="1"/>
    <xf numFmtId="3" fontId="4" fillId="9" borderId="35" xfId="10" applyNumberFormat="1" applyFont="1" applyFill="1" applyBorder="1" applyAlignment="1" applyProtection="1">
      <alignment horizontal="right" indent="1"/>
    </xf>
    <xf numFmtId="3" fontId="4" fillId="9" borderId="40" xfId="10" applyNumberFormat="1" applyFont="1" applyFill="1" applyBorder="1" applyAlignment="1" applyProtection="1"/>
    <xf numFmtId="3" fontId="4" fillId="9" borderId="35" xfId="10" applyNumberFormat="1" applyFont="1" applyFill="1" applyBorder="1" applyAlignment="1" applyProtection="1"/>
    <xf numFmtId="3" fontId="8" fillId="5" borderId="16" xfId="0" applyNumberFormat="1" applyFont="1" applyFill="1" applyBorder="1" applyAlignment="1">
      <alignment horizontal="centerContinuous"/>
    </xf>
    <xf numFmtId="3" fontId="8" fillId="5" borderId="17" xfId="0" applyNumberFormat="1" applyFont="1" applyFill="1" applyBorder="1" applyAlignment="1">
      <alignment horizontal="centerContinuous"/>
    </xf>
    <xf numFmtId="3" fontId="8" fillId="5" borderId="18" xfId="0" applyNumberFormat="1" applyFont="1" applyFill="1" applyBorder="1" applyAlignment="1">
      <alignment horizontal="centerContinuous"/>
    </xf>
    <xf numFmtId="3" fontId="8" fillId="5" borderId="0" xfId="0" applyNumberFormat="1" applyFont="1" applyFill="1" applyAlignment="1">
      <alignment horizontal="centerContinuous"/>
    </xf>
    <xf numFmtId="3" fontId="8" fillId="5" borderId="23" xfId="0" applyNumberFormat="1" applyFont="1" applyFill="1" applyBorder="1" applyAlignment="1">
      <alignment horizontal="centerContinuous"/>
    </xf>
    <xf numFmtId="3" fontId="9" fillId="5" borderId="24" xfId="0" applyNumberFormat="1" applyFont="1" applyFill="1" applyBorder="1" applyAlignment="1">
      <alignment horizontal="centerContinuous"/>
    </xf>
    <xf numFmtId="3" fontId="2" fillId="0" borderId="0" xfId="0" applyNumberFormat="1" applyFont="1" applyAlignment="1">
      <alignment horizontal="left"/>
    </xf>
    <xf numFmtId="3" fontId="4" fillId="0" borderId="3" xfId="0" applyNumberFormat="1" applyFont="1" applyBorder="1" applyAlignment="1">
      <alignment vertical="center"/>
    </xf>
    <xf numFmtId="3" fontId="2" fillId="0" borderId="16" xfId="0" applyNumberFormat="1" applyFont="1" applyBorder="1"/>
    <xf numFmtId="3" fontId="2" fillId="0" borderId="17" xfId="0" applyNumberFormat="1" applyFont="1" applyBorder="1" applyAlignment="1">
      <alignment horizontal="left"/>
    </xf>
    <xf numFmtId="3" fontId="2" fillId="4" borderId="0" xfId="0" applyNumberFormat="1" applyFont="1" applyFill="1"/>
    <xf numFmtId="3" fontId="8" fillId="5" borderId="29" xfId="0" applyNumberFormat="1" applyFont="1" applyFill="1" applyBorder="1" applyAlignment="1">
      <alignment horizontal="centerContinuous"/>
    </xf>
    <xf numFmtId="3" fontId="8" fillId="5" borderId="21" xfId="0" applyNumberFormat="1" applyFont="1" applyFill="1" applyBorder="1" applyAlignment="1">
      <alignment horizontal="centerContinuous"/>
    </xf>
    <xf numFmtId="3" fontId="4" fillId="4" borderId="9" xfId="0" applyNumberFormat="1" applyFont="1" applyFill="1" applyBorder="1" applyAlignment="1">
      <alignment horizontal="center" vertical="center"/>
    </xf>
    <xf numFmtId="3" fontId="2" fillId="0" borderId="20" xfId="5" applyNumberFormat="1" applyFont="1" applyBorder="1" applyAlignment="1" applyProtection="1">
      <alignment horizontal="center"/>
    </xf>
    <xf numFmtId="166" fontId="2" fillId="4" borderId="0" xfId="5" applyNumberFormat="1" applyFont="1" applyFill="1" applyProtection="1"/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3" fontId="10" fillId="0" borderId="12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6" fontId="2" fillId="0" borderId="15" xfId="5" applyNumberFormat="1" applyFont="1" applyBorder="1" applyProtection="1"/>
    <xf numFmtId="166" fontId="2" fillId="0" borderId="0" xfId="5" applyNumberFormat="1" applyFont="1" applyBorder="1" applyProtection="1"/>
    <xf numFmtId="166" fontId="2" fillId="0" borderId="0" xfId="5" applyNumberFormat="1" applyFont="1" applyProtection="1"/>
    <xf numFmtId="3" fontId="9" fillId="5" borderId="30" xfId="0" applyNumberFormat="1" applyFont="1" applyFill="1" applyBorder="1" applyAlignment="1">
      <alignment horizontal="centerContinuous"/>
    </xf>
    <xf numFmtId="3" fontId="4" fillId="4" borderId="38" xfId="0" applyNumberFormat="1" applyFont="1" applyFill="1" applyBorder="1" applyAlignment="1">
      <alignment horizontal="center" vertical="center" wrapText="1"/>
    </xf>
    <xf numFmtId="3" fontId="4" fillId="6" borderId="17" xfId="0" applyNumberFormat="1" applyFont="1" applyFill="1" applyBorder="1" applyAlignment="1">
      <alignment horizontal="left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9" xfId="0" applyNumberFormat="1" applyFont="1" applyFill="1" applyBorder="1" applyAlignment="1">
      <alignment horizontal="center" vertical="center" wrapText="1"/>
    </xf>
    <xf numFmtId="3" fontId="2" fillId="0" borderId="27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0" xfId="11" applyNumberFormat="1" applyFont="1"/>
    <xf numFmtId="3" fontId="2" fillId="4" borderId="0" xfId="11" applyNumberFormat="1" applyFont="1" applyFill="1"/>
    <xf numFmtId="3" fontId="8" fillId="5" borderId="16" xfId="11" applyNumberFormat="1" applyFont="1" applyFill="1" applyBorder="1" applyAlignment="1">
      <alignment horizontal="centerContinuous"/>
    </xf>
    <xf numFmtId="3" fontId="8" fillId="5" borderId="17" xfId="11" applyNumberFormat="1" applyFont="1" applyFill="1" applyBorder="1" applyAlignment="1">
      <alignment horizontal="centerContinuous"/>
    </xf>
    <xf numFmtId="3" fontId="8" fillId="5" borderId="29" xfId="11" applyNumberFormat="1" applyFont="1" applyFill="1" applyBorder="1" applyAlignment="1">
      <alignment horizontal="centerContinuous"/>
    </xf>
    <xf numFmtId="3" fontId="8" fillId="5" borderId="18" xfId="11" applyNumberFormat="1" applyFont="1" applyFill="1" applyBorder="1" applyAlignment="1">
      <alignment horizontal="centerContinuous"/>
    </xf>
    <xf numFmtId="3" fontId="8" fillId="5" borderId="0" xfId="11" applyNumberFormat="1" applyFont="1" applyFill="1" applyAlignment="1">
      <alignment horizontal="centerContinuous"/>
    </xf>
    <xf numFmtId="3" fontId="8" fillId="5" borderId="21" xfId="11" applyNumberFormat="1" applyFont="1" applyFill="1" applyBorder="1" applyAlignment="1">
      <alignment horizontal="centerContinuous"/>
    </xf>
    <xf numFmtId="3" fontId="8" fillId="5" borderId="23" xfId="11" applyNumberFormat="1" applyFont="1" applyFill="1" applyBorder="1" applyAlignment="1">
      <alignment horizontal="centerContinuous"/>
    </xf>
    <xf numFmtId="3" fontId="9" fillId="5" borderId="24" xfId="11" applyNumberFormat="1" applyFont="1" applyFill="1" applyBorder="1" applyAlignment="1">
      <alignment horizontal="centerContinuous"/>
    </xf>
    <xf numFmtId="3" fontId="19" fillId="5" borderId="30" xfId="11" applyNumberFormat="1" applyFont="1" applyFill="1" applyBorder="1" applyAlignment="1">
      <alignment horizontal="centerContinuous"/>
    </xf>
    <xf numFmtId="3" fontId="4" fillId="0" borderId="0" xfId="11" applyNumberFormat="1" applyFont="1"/>
    <xf numFmtId="3" fontId="2" fillId="0" borderId="0" xfId="11" applyNumberFormat="1" applyFont="1" applyAlignment="1">
      <alignment horizontal="left"/>
    </xf>
    <xf numFmtId="3" fontId="4" fillId="0" borderId="3" xfId="11" applyNumberFormat="1" applyFont="1" applyBorder="1" applyAlignment="1">
      <alignment vertical="center"/>
    </xf>
    <xf numFmtId="3" fontId="4" fillId="0" borderId="34" xfId="11" applyNumberFormat="1" applyFont="1" applyBorder="1" applyAlignment="1">
      <alignment vertical="center"/>
    </xf>
    <xf numFmtId="3" fontId="4" fillId="0" borderId="34" xfId="11" applyNumberFormat="1" applyFont="1" applyBorder="1" applyAlignment="1">
      <alignment horizontal="center" vertical="center" wrapText="1"/>
    </xf>
    <xf numFmtId="3" fontId="4" fillId="0" borderId="35" xfId="11" applyNumberFormat="1" applyFont="1" applyBorder="1" applyAlignment="1">
      <alignment horizontal="center" vertical="center" wrapText="1"/>
    </xf>
    <xf numFmtId="3" fontId="4" fillId="0" borderId="40" xfId="11" applyNumberFormat="1" applyFont="1" applyBorder="1" applyAlignment="1">
      <alignment horizontal="center" vertical="center" wrapText="1"/>
    </xf>
    <xf numFmtId="3" fontId="2" fillId="0" borderId="18" xfId="11" applyNumberFormat="1" applyFont="1" applyBorder="1" applyAlignment="1">
      <alignment horizontal="center"/>
    </xf>
    <xf numFmtId="3" fontId="2" fillId="3" borderId="36" xfId="11" applyNumberFormat="1" applyFont="1" applyFill="1" applyBorder="1"/>
    <xf numFmtId="3" fontId="2" fillId="0" borderId="17" xfId="10" applyNumberFormat="1" applyFont="1" applyBorder="1" applyAlignment="1" applyProtection="1">
      <alignment horizontal="center"/>
    </xf>
    <xf numFmtId="3" fontId="2" fillId="0" borderId="29" xfId="10" applyNumberFormat="1" applyFont="1" applyBorder="1" applyAlignment="1" applyProtection="1">
      <alignment horizontal="center"/>
    </xf>
    <xf numFmtId="3" fontId="2" fillId="0" borderId="41" xfId="10" applyNumberFormat="1" applyFont="1" applyBorder="1" applyAlignment="1" applyProtection="1">
      <alignment horizontal="center"/>
    </xf>
    <xf numFmtId="3" fontId="2" fillId="3" borderId="2" xfId="11" applyNumberFormat="1" applyFont="1" applyFill="1" applyBorder="1"/>
    <xf numFmtId="3" fontId="2" fillId="0" borderId="0" xfId="10" applyNumberFormat="1" applyFont="1" applyBorder="1" applyAlignment="1" applyProtection="1">
      <alignment horizontal="center"/>
    </xf>
    <xf numFmtId="3" fontId="2" fillId="0" borderId="21" xfId="10" applyNumberFormat="1" applyFont="1" applyBorder="1" applyAlignment="1" applyProtection="1">
      <alignment horizontal="center"/>
    </xf>
    <xf numFmtId="3" fontId="2" fillId="3" borderId="24" xfId="11" applyNumberFormat="1" applyFont="1" applyFill="1" applyBorder="1"/>
    <xf numFmtId="3" fontId="2" fillId="0" borderId="24" xfId="10" applyNumberFormat="1" applyFont="1" applyBorder="1" applyAlignment="1" applyProtection="1">
      <alignment horizontal="center"/>
    </xf>
    <xf numFmtId="3" fontId="2" fillId="0" borderId="30" xfId="10" applyNumberFormat="1" applyFont="1" applyBorder="1" applyAlignment="1" applyProtection="1">
      <alignment horizontal="center"/>
    </xf>
    <xf numFmtId="3" fontId="2" fillId="0" borderId="3" xfId="11" applyNumberFormat="1" applyFont="1" applyBorder="1"/>
    <xf numFmtId="3" fontId="4" fillId="6" borderId="34" xfId="11" applyNumberFormat="1" applyFont="1" applyFill="1" applyBorder="1" applyAlignment="1">
      <alignment horizontal="left"/>
    </xf>
    <xf numFmtId="3" fontId="4" fillId="6" borderId="40" xfId="10" applyNumberFormat="1" applyFont="1" applyFill="1" applyBorder="1" applyAlignment="1" applyProtection="1">
      <alignment horizontal="center"/>
    </xf>
    <xf numFmtId="3" fontId="2" fillId="0" borderId="16" xfId="11" applyNumberFormat="1" applyFont="1" applyBorder="1"/>
    <xf numFmtId="3" fontId="2" fillId="0" borderId="17" xfId="11" applyNumberFormat="1" applyFont="1" applyBorder="1" applyAlignment="1">
      <alignment horizontal="left"/>
    </xf>
    <xf numFmtId="3" fontId="2" fillId="0" borderId="17" xfId="11" applyNumberFormat="1" applyFont="1" applyBorder="1"/>
    <xf numFmtId="3" fontId="2" fillId="4" borderId="17" xfId="11" applyNumberFormat="1" applyFont="1" applyFill="1" applyBorder="1"/>
    <xf numFmtId="3" fontId="2" fillId="4" borderId="29" xfId="11" applyNumberFormat="1" applyFont="1" applyFill="1" applyBorder="1"/>
    <xf numFmtId="3" fontId="4" fillId="0" borderId="28" xfId="11" applyNumberFormat="1" applyFont="1" applyBorder="1" applyAlignment="1">
      <alignment horizontal="center" vertical="center" wrapText="1"/>
    </xf>
    <xf numFmtId="3" fontId="4" fillId="4" borderId="11" xfId="11" applyNumberFormat="1" applyFont="1" applyFill="1" applyBorder="1" applyAlignment="1">
      <alignment horizontal="center" vertical="center"/>
    </xf>
    <xf numFmtId="3" fontId="4" fillId="4" borderId="11" xfId="11" applyNumberFormat="1" applyFont="1" applyFill="1" applyBorder="1" applyAlignment="1">
      <alignment horizontal="center" vertical="center" wrapText="1"/>
    </xf>
    <xf numFmtId="3" fontId="4" fillId="4" borderId="9" xfId="11" applyNumberFormat="1" applyFont="1" applyFill="1" applyBorder="1" applyAlignment="1">
      <alignment horizontal="center" vertical="center"/>
    </xf>
    <xf numFmtId="3" fontId="4" fillId="2" borderId="18" xfId="11" applyNumberFormat="1" applyFont="1" applyFill="1" applyBorder="1"/>
    <xf numFmtId="3" fontId="2" fillId="2" borderId="0" xfId="11" applyNumberFormat="1" applyFont="1" applyFill="1"/>
    <xf numFmtId="3" fontId="2" fillId="0" borderId="27" xfId="11" applyNumberFormat="1" applyFont="1" applyBorder="1" applyAlignment="1">
      <alignment horizontal="center"/>
    </xf>
    <xf numFmtId="3" fontId="2" fillId="0" borderId="4" xfId="11" applyNumberFormat="1" applyFont="1" applyBorder="1" applyAlignment="1">
      <alignment horizontal="center"/>
    </xf>
    <xf numFmtId="166" fontId="2" fillId="0" borderId="20" xfId="12" applyNumberFormat="1" applyFont="1" applyBorder="1" applyAlignment="1" applyProtection="1">
      <alignment horizontal="center"/>
    </xf>
    <xf numFmtId="3" fontId="2" fillId="0" borderId="18" xfId="11" applyNumberFormat="1" applyFont="1" applyBorder="1"/>
    <xf numFmtId="3" fontId="2" fillId="0" borderId="20" xfId="12" applyNumberFormat="1" applyFont="1" applyBorder="1" applyAlignment="1" applyProtection="1">
      <alignment horizontal="center"/>
    </xf>
    <xf numFmtId="3" fontId="2" fillId="0" borderId="20" xfId="12" applyNumberFormat="1" applyFont="1" applyBorder="1" applyAlignment="1" applyProtection="1">
      <alignment horizontal="right"/>
    </xf>
    <xf numFmtId="3" fontId="4" fillId="7" borderId="0" xfId="11" applyNumberFormat="1" applyFont="1" applyFill="1" applyAlignment="1">
      <alignment horizontal="right"/>
    </xf>
    <xf numFmtId="3" fontId="4" fillId="7" borderId="28" xfId="11" applyNumberFormat="1" applyFont="1" applyFill="1" applyBorder="1" applyAlignment="1">
      <alignment horizontal="center"/>
    </xf>
    <xf numFmtId="3" fontId="4" fillId="7" borderId="11" xfId="12" applyNumberFormat="1" applyFont="1" applyFill="1" applyBorder="1" applyProtection="1"/>
    <xf numFmtId="3" fontId="4" fillId="7" borderId="9" xfId="12" applyNumberFormat="1" applyFont="1" applyFill="1" applyBorder="1" applyProtection="1"/>
    <xf numFmtId="3" fontId="2" fillId="0" borderId="31" xfId="11" applyNumberFormat="1" applyFont="1" applyBorder="1"/>
    <xf numFmtId="3" fontId="2" fillId="0" borderId="32" xfId="11" applyNumberFormat="1" applyFont="1" applyBorder="1"/>
    <xf numFmtId="3" fontId="2" fillId="0" borderId="33" xfId="12" applyNumberFormat="1" applyFont="1" applyBorder="1" applyProtection="1"/>
    <xf numFmtId="3" fontId="2" fillId="0" borderId="27" xfId="11" applyNumberFormat="1" applyFont="1" applyBorder="1"/>
    <xf numFmtId="3" fontId="2" fillId="0" borderId="4" xfId="11" applyNumberFormat="1" applyFont="1" applyBorder="1"/>
    <xf numFmtId="3" fontId="2" fillId="0" borderId="20" xfId="12" applyNumberFormat="1" applyFont="1" applyBorder="1" applyProtection="1"/>
    <xf numFmtId="3" fontId="17" fillId="0" borderId="18" xfId="11" applyNumberFormat="1" applyFont="1" applyBorder="1" applyAlignment="1">
      <alignment horizontal="center"/>
    </xf>
    <xf numFmtId="167" fontId="2" fillId="0" borderId="4" xfId="11" applyNumberFormat="1" applyFont="1" applyBorder="1"/>
    <xf numFmtId="3" fontId="2" fillId="6" borderId="0" xfId="11" applyNumberFormat="1" applyFont="1" applyFill="1" applyAlignment="1">
      <alignment horizontal="right"/>
    </xf>
    <xf numFmtId="3" fontId="2" fillId="6" borderId="25" xfId="11" applyNumberFormat="1" applyFont="1" applyFill="1" applyBorder="1"/>
    <xf numFmtId="3" fontId="2" fillId="6" borderId="1" xfId="12" applyNumberFormat="1" applyFont="1" applyFill="1" applyBorder="1" applyProtection="1"/>
    <xf numFmtId="3" fontId="4" fillId="6" borderId="19" xfId="12" applyNumberFormat="1" applyFont="1" applyFill="1" applyBorder="1" applyProtection="1"/>
    <xf numFmtId="3" fontId="2" fillId="4" borderId="20" xfId="12" applyNumberFormat="1" applyFont="1" applyFill="1" applyBorder="1" applyProtection="1"/>
    <xf numFmtId="3" fontId="2" fillId="0" borderId="0" xfId="11" applyNumberFormat="1" applyFont="1" applyAlignment="1">
      <alignment horizontal="right"/>
    </xf>
    <xf numFmtId="3" fontId="2" fillId="0" borderId="0" xfId="12" applyNumberFormat="1" applyFont="1" applyFill="1" applyBorder="1" applyProtection="1"/>
    <xf numFmtId="3" fontId="4" fillId="0" borderId="0" xfId="12" applyNumberFormat="1" applyFont="1" applyFill="1" applyBorder="1" applyProtection="1"/>
    <xf numFmtId="3" fontId="2" fillId="6" borderId="27" xfId="11" applyNumberFormat="1" applyFont="1" applyFill="1" applyBorder="1"/>
    <xf numFmtId="3" fontId="2" fillId="6" borderId="4" xfId="12" applyNumberFormat="1" applyFont="1" applyFill="1" applyBorder="1" applyProtection="1"/>
    <xf numFmtId="3" fontId="4" fillId="6" borderId="20" xfId="12" applyNumberFormat="1" applyFont="1" applyFill="1" applyBorder="1" applyProtection="1"/>
    <xf numFmtId="3" fontId="2" fillId="4" borderId="4" xfId="12" applyNumberFormat="1" applyFont="1" applyFill="1" applyBorder="1" applyProtection="1"/>
    <xf numFmtId="3" fontId="18" fillId="0" borderId="18" xfId="11" applyNumberFormat="1" applyFont="1" applyBorder="1" applyAlignment="1">
      <alignment horizontal="center"/>
    </xf>
    <xf numFmtId="3" fontId="2" fillId="0" borderId="26" xfId="11" applyNumberFormat="1" applyFont="1" applyBorder="1"/>
    <xf numFmtId="3" fontId="2" fillId="4" borderId="10" xfId="12" applyNumberFormat="1" applyFont="1" applyFill="1" applyBorder="1" applyProtection="1"/>
    <xf numFmtId="3" fontId="2" fillId="4" borderId="22" xfId="12" applyNumberFormat="1" applyFont="1" applyFill="1" applyBorder="1" applyProtection="1"/>
    <xf numFmtId="3" fontId="2" fillId="6" borderId="19" xfId="12" applyNumberFormat="1" applyFont="1" applyFill="1" applyBorder="1" applyProtection="1"/>
    <xf numFmtId="3" fontId="4" fillId="7" borderId="28" xfId="11" applyNumberFormat="1" applyFont="1" applyFill="1" applyBorder="1"/>
    <xf numFmtId="3" fontId="2" fillId="0" borderId="23" xfId="11" applyNumberFormat="1" applyFont="1" applyBorder="1" applyAlignment="1">
      <alignment horizontal="center"/>
    </xf>
    <xf numFmtId="3" fontId="4" fillId="8" borderId="24" xfId="11" applyNumberFormat="1" applyFont="1" applyFill="1" applyBorder="1" applyAlignment="1">
      <alignment horizontal="right"/>
    </xf>
    <xf numFmtId="3" fontId="4" fillId="8" borderId="28" xfId="11" applyNumberFormat="1" applyFont="1" applyFill="1" applyBorder="1"/>
    <xf numFmtId="3" fontId="4" fillId="8" borderId="11" xfId="12" applyNumberFormat="1" applyFont="1" applyFill="1" applyBorder="1" applyProtection="1"/>
    <xf numFmtId="3" fontId="4" fillId="8" borderId="9" xfId="12" applyNumberFormat="1" applyFont="1" applyFill="1" applyBorder="1" applyProtection="1"/>
    <xf numFmtId="3" fontId="4" fillId="2" borderId="16" xfId="11" applyNumberFormat="1" applyFont="1" applyFill="1" applyBorder="1"/>
    <xf numFmtId="3" fontId="2" fillId="2" borderId="17" xfId="11" applyNumberFormat="1" applyFont="1" applyFill="1" applyBorder="1"/>
    <xf numFmtId="3" fontId="2" fillId="0" borderId="33" xfId="12" applyNumberFormat="1" applyFont="1" applyBorder="1" applyAlignment="1" applyProtection="1">
      <alignment horizontal="right"/>
    </xf>
    <xf numFmtId="3" fontId="4" fillId="0" borderId="18" xfId="11" applyNumberFormat="1" applyFont="1" applyBorder="1"/>
    <xf numFmtId="3" fontId="2" fillId="0" borderId="20" xfId="12" applyNumberFormat="1" applyFont="1" applyFill="1" applyBorder="1" applyAlignment="1" applyProtection="1">
      <alignment horizontal="right"/>
    </xf>
    <xf numFmtId="3" fontId="2" fillId="6" borderId="25" xfId="11" applyNumberFormat="1" applyFont="1" applyFill="1" applyBorder="1" applyAlignment="1">
      <alignment horizontal="center"/>
    </xf>
    <xf numFmtId="3" fontId="2" fillId="0" borderId="18" xfId="11" applyNumberFormat="1" applyFont="1" applyBorder="1" applyAlignment="1">
      <alignment horizontal="left"/>
    </xf>
    <xf numFmtId="3" fontId="2" fillId="6" borderId="42" xfId="11" applyNumberFormat="1" applyFont="1" applyFill="1" applyBorder="1" applyAlignment="1">
      <alignment horizontal="right"/>
    </xf>
    <xf numFmtId="3" fontId="2" fillId="6" borderId="37" xfId="11" applyNumberFormat="1" applyFont="1" applyFill="1" applyBorder="1"/>
    <xf numFmtId="3" fontId="2" fillId="0" borderId="28" xfId="11" applyNumberFormat="1" applyFont="1" applyBorder="1"/>
    <xf numFmtId="3" fontId="2" fillId="4" borderId="11" xfId="12" applyNumberFormat="1" applyFont="1" applyFill="1" applyBorder="1" applyProtection="1"/>
    <xf numFmtId="3" fontId="2" fillId="4" borderId="9" xfId="12" applyNumberFormat="1" applyFont="1" applyFill="1" applyBorder="1" applyProtection="1"/>
    <xf numFmtId="3" fontId="4" fillId="0" borderId="27" xfId="11" applyNumberFormat="1" applyFont="1" applyBorder="1"/>
    <xf numFmtId="3" fontId="4" fillId="0" borderId="4" xfId="12" applyNumberFormat="1" applyFont="1" applyFill="1" applyBorder="1" applyProtection="1"/>
    <xf numFmtId="3" fontId="4" fillId="0" borderId="20" xfId="12" applyNumberFormat="1" applyFont="1" applyFill="1" applyBorder="1" applyProtection="1"/>
    <xf numFmtId="3" fontId="4" fillId="8" borderId="0" xfId="11" applyNumberFormat="1" applyFont="1" applyFill="1" applyAlignment="1">
      <alignment horizontal="right"/>
    </xf>
    <xf numFmtId="3" fontId="4" fillId="8" borderId="27" xfId="11" applyNumberFormat="1" applyFont="1" applyFill="1" applyBorder="1"/>
    <xf numFmtId="3" fontId="4" fillId="8" borderId="4" xfId="12" applyNumberFormat="1" applyFont="1" applyFill="1" applyBorder="1" applyProtection="1"/>
    <xf numFmtId="3" fontId="4" fillId="8" borderId="20" xfId="12" applyNumberFormat="1" applyFont="1" applyFill="1" applyBorder="1" applyProtection="1"/>
    <xf numFmtId="166" fontId="2" fillId="0" borderId="27" xfId="12" applyNumberFormat="1" applyFont="1" applyBorder="1" applyProtection="1"/>
    <xf numFmtId="3" fontId="2" fillId="0" borderId="4" xfId="12" applyNumberFormat="1" applyFont="1" applyBorder="1" applyProtection="1"/>
    <xf numFmtId="3" fontId="2" fillId="7" borderId="0" xfId="11" applyNumberFormat="1" applyFont="1" applyFill="1" applyAlignment="1">
      <alignment horizontal="right"/>
    </xf>
    <xf numFmtId="166" fontId="2" fillId="7" borderId="28" xfId="12" applyNumberFormat="1" applyFont="1" applyFill="1" applyBorder="1" applyProtection="1"/>
    <xf numFmtId="3" fontId="2" fillId="7" borderId="11" xfId="12" applyNumberFormat="1" applyFont="1" applyFill="1" applyBorder="1" applyProtection="1"/>
    <xf numFmtId="3" fontId="4" fillId="9" borderId="23" xfId="11" applyNumberFormat="1" applyFont="1" applyFill="1" applyBorder="1"/>
    <xf numFmtId="3" fontId="4" fillId="9" borderId="24" xfId="11" applyNumberFormat="1" applyFont="1" applyFill="1" applyBorder="1"/>
    <xf numFmtId="166" fontId="4" fillId="9" borderId="28" xfId="12" applyNumberFormat="1" applyFont="1" applyFill="1" applyBorder="1" applyProtection="1"/>
    <xf numFmtId="3" fontId="4" fillId="9" borderId="11" xfId="12" applyNumberFormat="1" applyFont="1" applyFill="1" applyBorder="1" applyProtection="1"/>
    <xf numFmtId="3" fontId="4" fillId="9" borderId="9" xfId="12" applyNumberFormat="1" applyFont="1" applyFill="1" applyBorder="1" applyProtection="1"/>
    <xf numFmtId="166" fontId="2" fillId="0" borderId="0" xfId="12" applyNumberFormat="1" applyFont="1" applyProtection="1"/>
    <xf numFmtId="166" fontId="2" fillId="4" borderId="0" xfId="12" applyNumberFormat="1" applyFont="1" applyFill="1" applyProtection="1"/>
    <xf numFmtId="3" fontId="4" fillId="9" borderId="3" xfId="11" applyNumberFormat="1" applyFont="1" applyFill="1" applyBorder="1"/>
    <xf numFmtId="3" fontId="4" fillId="9" borderId="34" xfId="11" applyNumberFormat="1" applyFont="1" applyFill="1" applyBorder="1"/>
    <xf numFmtId="3" fontId="4" fillId="9" borderId="34" xfId="10" applyNumberFormat="1" applyFont="1" applyFill="1" applyBorder="1" applyAlignment="1" applyProtection="1">
      <alignment horizontal="right" indent="1"/>
    </xf>
    <xf numFmtId="3" fontId="2" fillId="4" borderId="20" xfId="12" applyNumberFormat="1" applyFont="1" applyFill="1" applyBorder="1"/>
    <xf numFmtId="3" fontId="2" fillId="0" borderId="40" xfId="11" applyNumberFormat="1" applyFont="1" applyBorder="1"/>
    <xf numFmtId="3" fontId="4" fillId="0" borderId="40" xfId="11" applyNumberFormat="1" applyFont="1" applyBorder="1" applyAlignment="1">
      <alignment wrapText="1"/>
    </xf>
    <xf numFmtId="3" fontId="2" fillId="0" borderId="48" xfId="11" applyNumberFormat="1" applyFont="1" applyBorder="1"/>
    <xf numFmtId="3" fontId="2" fillId="0" borderId="41" xfId="11" applyNumberFormat="1" applyFont="1" applyBorder="1"/>
    <xf numFmtId="3" fontId="4" fillId="0" borderId="40" xfId="11" applyNumberFormat="1" applyFont="1" applyBorder="1"/>
    <xf numFmtId="3" fontId="21" fillId="0" borderId="0" xfId="11" applyNumberFormat="1" applyFont="1" applyAlignment="1">
      <alignment horizontal="left"/>
    </xf>
    <xf numFmtId="3" fontId="21" fillId="0" borderId="0" xfId="11" applyNumberFormat="1" applyFont="1"/>
    <xf numFmtId="3" fontId="2" fillId="3" borderId="49" xfId="11" applyNumberFormat="1" applyFont="1" applyFill="1" applyBorder="1"/>
    <xf numFmtId="3" fontId="2" fillId="3" borderId="0" xfId="11" applyNumberFormat="1" applyFont="1" applyFill="1" applyBorder="1"/>
    <xf numFmtId="3" fontId="2" fillId="0" borderId="27" xfId="11" applyNumberFormat="1" applyFont="1" applyBorder="1" applyAlignment="1">
      <alignment horizontal="left"/>
    </xf>
    <xf numFmtId="167" fontId="2" fillId="0" borderId="4" xfId="11" applyNumberFormat="1" applyFont="1" applyBorder="1" applyAlignment="1">
      <alignment horizontal="right"/>
    </xf>
    <xf numFmtId="3" fontId="2" fillId="0" borderId="4" xfId="11" applyNumberFormat="1" applyFont="1" applyBorder="1" applyAlignment="1">
      <alignment horizontal="right"/>
    </xf>
    <xf numFmtId="3" fontId="2" fillId="0" borderId="27" xfId="0" applyNumberFormat="1" applyFont="1" applyBorder="1"/>
    <xf numFmtId="167" fontId="2" fillId="0" borderId="4" xfId="0" applyNumberFormat="1" applyFont="1" applyBorder="1"/>
    <xf numFmtId="0" fontId="20" fillId="0" borderId="18" xfId="11" applyNumberFormat="1" applyFont="1" applyBorder="1" applyAlignment="1">
      <alignment horizontal="center"/>
    </xf>
    <xf numFmtId="3" fontId="20" fillId="4" borderId="4" xfId="11" applyNumberFormat="1" applyFont="1" applyFill="1" applyBorder="1"/>
    <xf numFmtId="3" fontId="2" fillId="0" borderId="8" xfId="11" applyNumberFormat="1" applyFont="1" applyBorder="1"/>
    <xf numFmtId="3" fontId="2" fillId="3" borderId="50" xfId="11" applyNumberFormat="1" applyFont="1" applyFill="1" applyBorder="1"/>
    <xf numFmtId="3" fontId="8" fillId="5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2" fillId="5" borderId="0" xfId="0" applyFont="1" applyFill="1"/>
    <xf numFmtId="3" fontId="8" fillId="5" borderId="0" xfId="0" applyNumberFormat="1" applyFont="1" applyFill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12" fillId="5" borderId="0" xfId="0" applyFont="1" applyFill="1" applyAlignment="1">
      <alignment wrapText="1"/>
    </xf>
    <xf numFmtId="3" fontId="9" fillId="5" borderId="0" xfId="0" applyNumberFormat="1" applyFont="1" applyFill="1" applyAlignment="1">
      <alignment horizontal="center"/>
    </xf>
  </cellXfs>
  <cellStyles count="13">
    <cellStyle name="Comma 2 2" xfId="10" xr:uid="{9A323EF7-DEE9-46EA-92C5-247D446E3217}"/>
    <cellStyle name="Currency 2" xfId="12" xr:uid="{3BB0BD7D-60D7-484E-895D-401A6D4A8632}"/>
    <cellStyle name="Currency 2 2" xfId="9" xr:uid="{3E018251-4F12-45DB-B6E1-A5EE3127C699}"/>
    <cellStyle name="Normal 2" xfId="1" xr:uid="{00000000-0005-0000-0000-000003000000}"/>
    <cellStyle name="Normal 2 2" xfId="8" xr:uid="{BDDFF1BA-05A5-44CF-BF21-758EF486B606}"/>
    <cellStyle name="Normal 3" xfId="2" xr:uid="{00000000-0005-0000-0000-000004000000}"/>
    <cellStyle name="Normal 3 2" xfId="7" xr:uid="{83CEA5C0-372C-4A9E-B48A-522DC4CCAE53}"/>
    <cellStyle name="Normal 4" xfId="11" xr:uid="{A825A5F9-2600-449E-92E8-FA93D314DDF7}"/>
    <cellStyle name="Percent 2" xfId="3" xr:uid="{00000000-0005-0000-0000-000006000000}"/>
    <cellStyle name="Percent 3" xfId="4" xr:uid="{00000000-0005-0000-0000-000007000000}"/>
    <cellStyle name="Денежный" xfId="5" builtinId="4"/>
    <cellStyle name="Обычный" xfId="0" builtinId="0"/>
    <cellStyle name="Финансовый" xfId="6" builtinId="3"/>
  </cellStyles>
  <dxfs count="0"/>
  <tableStyles count="0" defaultTableStyle="TableStyleMedium9" defaultPivotStyle="PivotStyleLight16"/>
  <colors>
    <mruColors>
      <color rgb="FF66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sey O'Neill" id="{9FA328CE-2BE1-4FCC-B7F3-D9CFC344705A}" userId="S::coneill@cwsglobal.org::f188920b-eeb6-40dc-b4db-b9eec87bfe62" providerId="AD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topLeftCell="A17" zoomScale="130" zoomScaleNormal="130" zoomScaleSheetLayoutView="100" workbookViewId="0">
      <selection activeCell="B22" sqref="B22"/>
    </sheetView>
  </sheetViews>
  <sheetFormatPr defaultColWidth="9.21875" defaultRowHeight="13.2" x14ac:dyDescent="0.25"/>
  <cols>
    <col min="1" max="1" width="15.21875" style="1" customWidth="1"/>
    <col min="2" max="2" width="39.21875" style="1" customWidth="1"/>
    <col min="3" max="3" width="14.44140625" style="1" customWidth="1"/>
    <col min="4" max="16384" width="9.21875" style="1"/>
  </cols>
  <sheetData>
    <row r="1" spans="1:3" ht="17.399999999999999" x14ac:dyDescent="0.3">
      <c r="A1" s="291" t="e">
        <f>#REF!</f>
        <v>#REF!</v>
      </c>
      <c r="B1" s="292"/>
      <c r="C1" s="293"/>
    </row>
    <row r="2" spans="1:3" ht="17.399999999999999" x14ac:dyDescent="0.3">
      <c r="A2" s="291" t="s">
        <v>0</v>
      </c>
      <c r="B2" s="291"/>
      <c r="C2" s="291"/>
    </row>
    <row r="3" spans="1:3" ht="16.5" customHeight="1" x14ac:dyDescent="0.3">
      <c r="A3" s="294" t="e">
        <f>#REF!</f>
        <v>#REF!</v>
      </c>
      <c r="B3" s="295"/>
      <c r="C3" s="296"/>
    </row>
    <row r="4" spans="1:3" ht="18" x14ac:dyDescent="0.35">
      <c r="A4" s="297" t="e">
        <f>#REF!</f>
        <v>#REF!</v>
      </c>
      <c r="B4" s="297"/>
      <c r="C4" s="297"/>
    </row>
    <row r="5" spans="1:3" ht="13.8" thickBot="1" x14ac:dyDescent="0.3"/>
    <row r="6" spans="1:3" ht="16.2" thickBot="1" x14ac:dyDescent="0.35">
      <c r="A6" s="44" t="s">
        <v>1</v>
      </c>
      <c r="B6" s="18" t="s">
        <v>2</v>
      </c>
      <c r="C6" s="16" t="s">
        <v>3</v>
      </c>
    </row>
    <row r="7" spans="1:3" ht="13.8" thickTop="1" x14ac:dyDescent="0.25">
      <c r="A7" s="48" t="s">
        <v>4</v>
      </c>
      <c r="B7" s="108" t="s">
        <v>5</v>
      </c>
      <c r="C7" s="109" t="e">
        <f>XXXXFinRep!D9</f>
        <v>#REF!</v>
      </c>
    </row>
    <row r="8" spans="1:3" x14ac:dyDescent="0.25">
      <c r="A8" s="48" t="s">
        <v>4</v>
      </c>
      <c r="B8" s="110" t="s">
        <v>6</v>
      </c>
      <c r="C8" s="17">
        <f>XXXXFinRep!D10</f>
        <v>0</v>
      </c>
    </row>
    <row r="9" spans="1:3" x14ac:dyDescent="0.25">
      <c r="A9" s="48" t="s">
        <v>4</v>
      </c>
      <c r="B9" s="110" t="s">
        <v>7</v>
      </c>
      <c r="C9" s="17">
        <f>XXXXFinRep!D11</f>
        <v>0</v>
      </c>
    </row>
    <row r="10" spans="1:3" x14ac:dyDescent="0.25">
      <c r="A10" s="48" t="s">
        <v>4</v>
      </c>
      <c r="B10" s="110" t="s">
        <v>8</v>
      </c>
      <c r="C10" s="17">
        <f>XXXXFinRep!D12</f>
        <v>0</v>
      </c>
    </row>
    <row r="11" spans="1:3" x14ac:dyDescent="0.25">
      <c r="A11" s="48" t="s">
        <v>4</v>
      </c>
      <c r="B11" s="110" t="s">
        <v>9</v>
      </c>
      <c r="C11" s="17">
        <f>XXXXFinRep!D13</f>
        <v>0</v>
      </c>
    </row>
    <row r="12" spans="1:3" x14ac:dyDescent="0.25">
      <c r="A12" s="48" t="s">
        <v>4</v>
      </c>
      <c r="B12" s="110" t="s">
        <v>10</v>
      </c>
      <c r="C12" s="17">
        <f>XXXXFinRep!D14</f>
        <v>0</v>
      </c>
    </row>
    <row r="13" spans="1:3" ht="13.8" thickBot="1" x14ac:dyDescent="0.3">
      <c r="A13" s="48" t="s">
        <v>4</v>
      </c>
      <c r="B13" s="111" t="s">
        <v>11</v>
      </c>
      <c r="C13" s="112" t="e">
        <f>XXXXFinRep!D15</f>
        <v>#REF!</v>
      </c>
    </row>
    <row r="14" spans="1:3" ht="13.8" thickBot="1" x14ac:dyDescent="0.3">
      <c r="A14" s="49"/>
      <c r="B14" s="113" t="s">
        <v>12</v>
      </c>
      <c r="C14" s="114" t="e">
        <f>XXXXFinRep!D16</f>
        <v>#REF!</v>
      </c>
    </row>
    <row r="16" spans="1:3" ht="13.8" thickBot="1" x14ac:dyDescent="0.3"/>
    <row r="17" spans="1:6" ht="16.2" thickBot="1" x14ac:dyDescent="0.35">
      <c r="A17" s="14" t="s">
        <v>1</v>
      </c>
      <c r="B17" s="15" t="s">
        <v>2</v>
      </c>
      <c r="C17" s="16" t="s">
        <v>3</v>
      </c>
    </row>
    <row r="18" spans="1:6" ht="16.2" thickTop="1" x14ac:dyDescent="0.3">
      <c r="A18" s="11"/>
      <c r="B18" s="12"/>
      <c r="C18" s="13"/>
    </row>
    <row r="19" spans="1:6" x14ac:dyDescent="0.25">
      <c r="A19" s="3" t="s">
        <v>13</v>
      </c>
      <c r="B19" s="1" t="s">
        <v>14</v>
      </c>
      <c r="C19" s="55" t="e">
        <f>#REF!</f>
        <v>#REF!</v>
      </c>
    </row>
    <row r="20" spans="1:6" x14ac:dyDescent="0.25">
      <c r="A20" s="3" t="s">
        <v>15</v>
      </c>
      <c r="B20" s="1" t="s">
        <v>16</v>
      </c>
      <c r="C20" s="55" t="e">
        <f>#REF!</f>
        <v>#REF!</v>
      </c>
    </row>
    <row r="21" spans="1:6" x14ac:dyDescent="0.25">
      <c r="A21" s="3"/>
      <c r="B21" s="27" t="e">
        <f>#REF!</f>
        <v>#REF!</v>
      </c>
      <c r="C21" s="55" t="e">
        <f>#REF!</f>
        <v>#REF!</v>
      </c>
    </row>
    <row r="22" spans="1:6" x14ac:dyDescent="0.25">
      <c r="A22" s="3"/>
      <c r="B22" s="27" t="e">
        <f>#REF!</f>
        <v>#REF!</v>
      </c>
      <c r="C22" s="55" t="e">
        <f>#REF!</f>
        <v>#REF!</v>
      </c>
    </row>
    <row r="23" spans="1:6" x14ac:dyDescent="0.25">
      <c r="A23" s="3"/>
      <c r="B23" s="27" t="e">
        <f>#REF!</f>
        <v>#REF!</v>
      </c>
      <c r="C23" s="55" t="e">
        <f>#REF!</f>
        <v>#REF!</v>
      </c>
    </row>
    <row r="24" spans="1:6" x14ac:dyDescent="0.25">
      <c r="A24" s="3"/>
      <c r="B24" s="27" t="e">
        <f>#REF!</f>
        <v>#REF!</v>
      </c>
      <c r="C24" s="55" t="e">
        <f>#REF!</f>
        <v>#REF!</v>
      </c>
    </row>
    <row r="25" spans="1:6" x14ac:dyDescent="0.25">
      <c r="A25" s="3"/>
      <c r="B25" s="27" t="e">
        <f>#REF!</f>
        <v>#REF!</v>
      </c>
      <c r="C25" s="55" t="e">
        <f>#REF!</f>
        <v>#REF!</v>
      </c>
    </row>
    <row r="26" spans="1:6" x14ac:dyDescent="0.25">
      <c r="A26" s="3"/>
      <c r="C26" s="55"/>
    </row>
    <row r="27" spans="1:6" x14ac:dyDescent="0.25">
      <c r="A27" s="3" t="s">
        <v>17</v>
      </c>
      <c r="B27" s="1" t="s">
        <v>18</v>
      </c>
      <c r="C27" s="55" t="e">
        <f>#REF!</f>
        <v>#REF!</v>
      </c>
    </row>
    <row r="28" spans="1:6" x14ac:dyDescent="0.25">
      <c r="A28" s="3"/>
      <c r="B28" s="2" t="s">
        <v>19</v>
      </c>
      <c r="C28" s="55" t="e">
        <f>#REF!</f>
        <v>#REF!</v>
      </c>
    </row>
    <row r="29" spans="1:6" ht="13.8" thickBot="1" x14ac:dyDescent="0.3">
      <c r="A29" s="3"/>
      <c r="B29" s="2" t="s">
        <v>20</v>
      </c>
      <c r="C29" s="55" t="e">
        <f>#REF!</f>
        <v>#REF!</v>
      </c>
    </row>
    <row r="30" spans="1:6" ht="13.8" thickBot="1" x14ac:dyDescent="0.3">
      <c r="A30" s="3"/>
      <c r="B30" s="5" t="s">
        <v>21</v>
      </c>
      <c r="C30" s="56" t="e">
        <f>SUM(C27,C20,C19)</f>
        <v>#REF!</v>
      </c>
    </row>
    <row r="31" spans="1:6" x14ac:dyDescent="0.25">
      <c r="A31" s="3"/>
      <c r="B31" s="2"/>
      <c r="C31" s="55"/>
    </row>
    <row r="32" spans="1:6" x14ac:dyDescent="0.25">
      <c r="A32" s="3" t="s">
        <v>22</v>
      </c>
      <c r="B32" s="1" t="s">
        <v>23</v>
      </c>
      <c r="C32" s="55" t="e">
        <f>#REF!</f>
        <v>#REF!</v>
      </c>
      <c r="F32" s="2"/>
    </row>
    <row r="33" spans="1:6" x14ac:dyDescent="0.25">
      <c r="A33" s="3" t="s">
        <v>24</v>
      </c>
      <c r="B33" s="1" t="s">
        <v>25</v>
      </c>
      <c r="C33" s="55" t="e">
        <f>#REF!</f>
        <v>#REF!</v>
      </c>
      <c r="F33" s="2"/>
    </row>
    <row r="34" spans="1:6" x14ac:dyDescent="0.25">
      <c r="A34" s="3" t="s">
        <v>26</v>
      </c>
      <c r="B34" s="1" t="s">
        <v>27</v>
      </c>
      <c r="C34" s="55" t="e">
        <f>#REF!</f>
        <v>#REF!</v>
      </c>
      <c r="F34" s="2"/>
    </row>
    <row r="35" spans="1:6" x14ac:dyDescent="0.25">
      <c r="A35" s="3" t="s">
        <v>28</v>
      </c>
      <c r="B35" s="1" t="s">
        <v>29</v>
      </c>
      <c r="C35" s="55" t="e">
        <f>#REF!</f>
        <v>#REF!</v>
      </c>
      <c r="F35" s="2"/>
    </row>
    <row r="36" spans="1:6" x14ac:dyDescent="0.25">
      <c r="A36" s="3" t="s">
        <v>30</v>
      </c>
      <c r="B36" s="1" t="s">
        <v>31</v>
      </c>
      <c r="C36" s="55" t="e">
        <f>#REF!</f>
        <v>#REF!</v>
      </c>
      <c r="F36" s="2"/>
    </row>
    <row r="37" spans="1:6" x14ac:dyDescent="0.25">
      <c r="A37" s="3" t="s">
        <v>32</v>
      </c>
      <c r="B37" s="1" t="s">
        <v>33</v>
      </c>
      <c r="C37" s="55" t="e">
        <f>#REF!</f>
        <v>#REF!</v>
      </c>
      <c r="F37" s="2"/>
    </row>
    <row r="38" spans="1:6" ht="13.8" thickBot="1" x14ac:dyDescent="0.3">
      <c r="A38" s="3" t="s">
        <v>34</v>
      </c>
      <c r="B38" s="1" t="s">
        <v>35</v>
      </c>
      <c r="C38" s="55" t="e">
        <f>#REF!</f>
        <v>#REF!</v>
      </c>
      <c r="F38" s="2"/>
    </row>
    <row r="39" spans="1:6" ht="13.8" thickBot="1" x14ac:dyDescent="0.3">
      <c r="A39" s="3"/>
      <c r="B39" s="5" t="s">
        <v>36</v>
      </c>
      <c r="C39" s="56" t="e">
        <f>SUM(C33:C38)</f>
        <v>#REF!</v>
      </c>
      <c r="F39" s="2"/>
    </row>
    <row r="40" spans="1:6" ht="13.8" thickBot="1" x14ac:dyDescent="0.3">
      <c r="A40" s="3"/>
      <c r="C40" s="55"/>
      <c r="F40" s="2"/>
    </row>
    <row r="41" spans="1:6" ht="13.8" thickBot="1" x14ac:dyDescent="0.3">
      <c r="A41" s="3" t="s">
        <v>37</v>
      </c>
      <c r="B41" s="1" t="s">
        <v>38</v>
      </c>
      <c r="C41" s="56" t="e">
        <f>#REF!</f>
        <v>#REF!</v>
      </c>
      <c r="F41" s="2"/>
    </row>
    <row r="42" spans="1:6" x14ac:dyDescent="0.25">
      <c r="A42" s="3"/>
      <c r="C42" s="57"/>
    </row>
    <row r="43" spans="1:6" ht="13.8" thickBot="1" x14ac:dyDescent="0.3">
      <c r="A43" s="3"/>
      <c r="C43" s="55"/>
    </row>
    <row r="44" spans="1:6" ht="13.8" thickBot="1" x14ac:dyDescent="0.3">
      <c r="A44" s="9" t="s">
        <v>39</v>
      </c>
      <c r="B44" s="10"/>
      <c r="C44" s="58" t="e">
        <f>SUM(C30,C39,C41)</f>
        <v>#REF!</v>
      </c>
    </row>
    <row r="45" spans="1:6" ht="14.4" thickTop="1" thickBot="1" x14ac:dyDescent="0.3">
      <c r="A45" s="6"/>
      <c r="B45" s="6"/>
      <c r="C45" s="7"/>
    </row>
    <row r="46" spans="1:6" ht="13.8" thickBot="1" x14ac:dyDescent="0.3">
      <c r="A46" s="115" t="s">
        <v>40</v>
      </c>
      <c r="B46" s="116"/>
      <c r="C46" s="118" t="e">
        <f>C14-C44</f>
        <v>#REF!</v>
      </c>
    </row>
    <row r="47" spans="1:6" x14ac:dyDescent="0.25">
      <c r="C47" s="8"/>
    </row>
    <row r="48" spans="1:6" x14ac:dyDescent="0.25">
      <c r="C48" s="4"/>
    </row>
  </sheetData>
  <sheetProtection algorithmName="SHA-512" hashValue="6xIUWdNu8a3nsy0OJd5scsQQ4tgn4nCbdC5TQSf6ZARXi67CpQUb57cedIoppVup+bJBy/qXNw6DR/c9cZf1lw==" saltValue="bOX3HhaWxchSDMmFhDOMTQ==" spinCount="100000" sheet="1" objects="1" scenarios="1"/>
  <mergeCells count="4">
    <mergeCell ref="A1:C1"/>
    <mergeCell ref="A3:C3"/>
    <mergeCell ref="A4:C4"/>
    <mergeCell ref="A2:C2"/>
  </mergeCells>
  <printOptions horizontalCentered="1" verticalCentered="1"/>
  <pageMargins left="0.55000000000000004" right="0.75" top="0.52" bottom="0.38" header="0.5" footer="0.36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EED1-19E4-4A70-8F05-AA6D52AC1330}">
  <sheetPr>
    <pageSetUpPr fitToPage="1"/>
  </sheetPr>
  <dimension ref="A1:G50"/>
  <sheetViews>
    <sheetView topLeftCell="A8" zoomScaleNormal="100" zoomScaleSheetLayoutView="100" workbookViewId="0">
      <selection sqref="A1:F48"/>
    </sheetView>
  </sheetViews>
  <sheetFormatPr defaultColWidth="9.21875" defaultRowHeight="13.2" x14ac:dyDescent="0.25"/>
  <cols>
    <col min="1" max="1" width="12.77734375" style="48" customWidth="1"/>
    <col min="2" max="2" width="8.77734375" style="48" customWidth="1"/>
    <col min="3" max="3" width="39.21875" style="1" customWidth="1"/>
    <col min="4" max="5" width="12.77734375" style="1" customWidth="1"/>
    <col min="6" max="6" width="16.21875" style="1" customWidth="1"/>
    <col min="7" max="16384" width="9.21875" style="1"/>
  </cols>
  <sheetData>
    <row r="1" spans="1:6" ht="17.399999999999999" x14ac:dyDescent="0.3">
      <c r="A1" s="291" t="e">
        <f>#REF!</f>
        <v>#REF!</v>
      </c>
      <c r="B1" s="291"/>
      <c r="C1" s="292"/>
      <c r="D1" s="293"/>
    </row>
    <row r="2" spans="1:6" ht="17.399999999999999" x14ac:dyDescent="0.3">
      <c r="A2" s="291" t="s">
        <v>126</v>
      </c>
      <c r="B2" s="291"/>
      <c r="C2" s="291"/>
      <c r="D2" s="291"/>
    </row>
    <row r="3" spans="1:6" ht="16.5" customHeight="1" x14ac:dyDescent="0.3">
      <c r="A3" s="294" t="e">
        <f>#REF!</f>
        <v>#REF!</v>
      </c>
      <c r="B3" s="294"/>
      <c r="C3" s="295"/>
      <c r="D3" s="296"/>
    </row>
    <row r="4" spans="1:6" ht="18" x14ac:dyDescent="0.35">
      <c r="A4" s="297" t="e">
        <f>#REF!</f>
        <v>#REF!</v>
      </c>
      <c r="B4" s="297"/>
      <c r="C4" s="297"/>
      <c r="D4" s="297"/>
    </row>
    <row r="5" spans="1:6" ht="13.8" thickBot="1" x14ac:dyDescent="0.3"/>
    <row r="6" spans="1:6" ht="27" thickBot="1" x14ac:dyDescent="0.3">
      <c r="A6" s="44" t="s">
        <v>1</v>
      </c>
      <c r="B6" s="45" t="s">
        <v>44</v>
      </c>
      <c r="C6" s="18" t="s">
        <v>2</v>
      </c>
      <c r="D6" s="46" t="s">
        <v>45</v>
      </c>
      <c r="E6" s="47" t="s">
        <v>12</v>
      </c>
      <c r="F6" s="47" t="s">
        <v>127</v>
      </c>
    </row>
    <row r="7" spans="1:6" x14ac:dyDescent="0.25">
      <c r="A7" s="48" t="s">
        <v>4</v>
      </c>
      <c r="B7" s="19" t="s">
        <v>46</v>
      </c>
      <c r="C7" s="20" t="s">
        <v>5</v>
      </c>
      <c r="D7" s="100" t="e">
        <f>SUMIF(XXXXFinRep!$B:$B,XXXXX!B7,XXXXFinRep!$D:$D)</f>
        <v>#REF!</v>
      </c>
      <c r="E7" s="101" t="e">
        <f>SUMIF(XXXXFinRep!$B:$B,XXXXX!B7,XXXXFinRep!$H:$H)</f>
        <v>#REF!</v>
      </c>
      <c r="F7" s="101" t="e">
        <f>SUMIF(XXXXFinRep!$B:$B,XXXXX!B7,XXXXFinRep!$I:$I)</f>
        <v>#REF!</v>
      </c>
    </row>
    <row r="8" spans="1:6" x14ac:dyDescent="0.25">
      <c r="A8" s="48" t="s">
        <v>4</v>
      </c>
      <c r="B8" s="19" t="s">
        <v>128</v>
      </c>
      <c r="C8" s="20" t="s">
        <v>6</v>
      </c>
      <c r="D8" s="100">
        <f>SUMIF(XXXXFinRep!$B:$B,XXXXX!B8,XXXXFinRep!$D:$D)</f>
        <v>0</v>
      </c>
      <c r="E8" s="101">
        <f>SUMIF(XXXXFinRep!$B:$B,XXXXX!B8,XXXXFinRep!$H:$H)</f>
        <v>0</v>
      </c>
      <c r="F8" s="101">
        <f>SUMIF(XXXXFinRep!$B:$B,XXXXX!B8,XXXXFinRep!$I:$I)</f>
        <v>0</v>
      </c>
    </row>
    <row r="9" spans="1:6" x14ac:dyDescent="0.25">
      <c r="A9" s="48" t="s">
        <v>4</v>
      </c>
      <c r="B9" s="19" t="s">
        <v>129</v>
      </c>
      <c r="C9" s="20" t="s">
        <v>7</v>
      </c>
      <c r="D9" s="100">
        <f>SUMIF(XXXXFinRep!$B:$B,XXXXX!B9,XXXXFinRep!$D:$D)</f>
        <v>0</v>
      </c>
      <c r="E9" s="101">
        <f>SUMIF(XXXXFinRep!$B:$B,XXXXX!B9,XXXXFinRep!$H:$H)</f>
        <v>0</v>
      </c>
      <c r="F9" s="101">
        <f>SUMIF(XXXXFinRep!$B:$B,XXXXX!B9,XXXXFinRep!$I:$I)</f>
        <v>0</v>
      </c>
    </row>
    <row r="10" spans="1:6" x14ac:dyDescent="0.25">
      <c r="A10" s="48" t="s">
        <v>4</v>
      </c>
      <c r="B10" s="19" t="s">
        <v>130</v>
      </c>
      <c r="C10" s="20" t="s">
        <v>8</v>
      </c>
      <c r="D10" s="100">
        <f>SUMIF(XXXXFinRep!$B:$B,XXXXX!B10,XXXXFinRep!$D:$D)</f>
        <v>0</v>
      </c>
      <c r="E10" s="101">
        <f>SUMIF(XXXXFinRep!$B:$B,XXXXX!B10,XXXXFinRep!$H:$H)</f>
        <v>0</v>
      </c>
      <c r="F10" s="101">
        <f>SUMIF(XXXXFinRep!$B:$B,XXXXX!B10,XXXXFinRep!$I:$I)</f>
        <v>0</v>
      </c>
    </row>
    <row r="11" spans="1:6" x14ac:dyDescent="0.25">
      <c r="A11" s="48" t="s">
        <v>4</v>
      </c>
      <c r="B11" s="19" t="s">
        <v>131</v>
      </c>
      <c r="C11" s="20" t="s">
        <v>9</v>
      </c>
      <c r="D11" s="100">
        <f>SUMIF(XXXXFinRep!$B:$B,XXXXX!B11,XXXXFinRep!$D:$D)</f>
        <v>0</v>
      </c>
      <c r="E11" s="101">
        <f>SUMIF(XXXXFinRep!$B:$B,XXXXX!B11,XXXXFinRep!$H:$H)</f>
        <v>0</v>
      </c>
      <c r="F11" s="101">
        <f>SUMIF(XXXXFinRep!$B:$B,XXXXX!B11,XXXXFinRep!$I:$I)</f>
        <v>0</v>
      </c>
    </row>
    <row r="12" spans="1:6" x14ac:dyDescent="0.25">
      <c r="A12" s="48" t="s">
        <v>4</v>
      </c>
      <c r="B12" s="19" t="s">
        <v>132</v>
      </c>
      <c r="C12" s="20" t="s">
        <v>10</v>
      </c>
      <c r="D12" s="100">
        <f>SUMIF(XXXXFinRep!$B:$B,XXXXX!B12,XXXXFinRep!$D:$D)</f>
        <v>0</v>
      </c>
      <c r="E12" s="101">
        <f>SUMIF(XXXXFinRep!$B:$B,XXXXX!B12,XXXXFinRep!$H:$H)</f>
        <v>0</v>
      </c>
      <c r="F12" s="101">
        <f>SUMIF(XXXXFinRep!$B:$B,XXXXX!B12,XXXXFinRep!$I:$I)</f>
        <v>0</v>
      </c>
    </row>
    <row r="13" spans="1:6" ht="13.8" thickBot="1" x14ac:dyDescent="0.3">
      <c r="A13" s="48" t="s">
        <v>4</v>
      </c>
      <c r="B13" s="19" t="s">
        <v>133</v>
      </c>
      <c r="C13" s="20" t="s">
        <v>11</v>
      </c>
      <c r="D13" s="100" t="e">
        <f>SUMIF(XXXXFinRep!$B:$B,XXXXX!B13,XXXXFinRep!$D:$D)</f>
        <v>#REF!</v>
      </c>
      <c r="E13" s="101">
        <f>SUMIF(XXXXFinRep!$B:$B,XXXXX!B13,XXXXFinRep!$H:$H)</f>
        <v>0</v>
      </c>
      <c r="F13" s="101" t="e">
        <f>SUMIF(XXXXFinRep!$B:$B,XXXXX!B13,XXXXFinRep!$I:$I)</f>
        <v>#REF!</v>
      </c>
    </row>
    <row r="14" spans="1:6" ht="13.8" thickBot="1" x14ac:dyDescent="0.3">
      <c r="A14" s="49"/>
      <c r="B14" s="50"/>
      <c r="C14" s="51" t="s">
        <v>12</v>
      </c>
      <c r="D14" s="102" t="e">
        <f>SUM(D7:D13)</f>
        <v>#REF!</v>
      </c>
      <c r="E14" s="103" t="e">
        <f t="shared" ref="E14:F14" si="0">SUM(E7:E13)</f>
        <v>#REF!</v>
      </c>
      <c r="F14" s="104" t="e">
        <f t="shared" si="0"/>
        <v>#REF!</v>
      </c>
    </row>
    <row r="15" spans="1:6" x14ac:dyDescent="0.25">
      <c r="D15" s="2"/>
      <c r="E15" s="2"/>
      <c r="F15" s="2"/>
    </row>
    <row r="16" spans="1:6" ht="13.8" thickBot="1" x14ac:dyDescent="0.3">
      <c r="D16" s="2"/>
      <c r="E16" s="2"/>
      <c r="F16" s="2"/>
    </row>
    <row r="17" spans="1:7" ht="16.2" thickBot="1" x14ac:dyDescent="0.35">
      <c r="A17" s="136" t="s">
        <v>1</v>
      </c>
      <c r="B17" s="137"/>
      <c r="C17" s="15" t="s">
        <v>2</v>
      </c>
      <c r="D17" s="138" t="s">
        <v>3</v>
      </c>
      <c r="E17" s="138" t="s">
        <v>3</v>
      </c>
      <c r="F17" s="138" t="s">
        <v>3</v>
      </c>
    </row>
    <row r="18" spans="1:7" ht="16.2" thickTop="1" x14ac:dyDescent="0.3">
      <c r="A18" s="139"/>
      <c r="B18" s="140"/>
      <c r="C18" s="12"/>
      <c r="D18" s="141"/>
      <c r="E18" s="141"/>
      <c r="F18" s="141"/>
    </row>
    <row r="19" spans="1:7" x14ac:dyDescent="0.25">
      <c r="A19" s="52" t="s">
        <v>13</v>
      </c>
      <c r="B19" s="48" t="s">
        <v>134</v>
      </c>
      <c r="C19" s="1" t="s">
        <v>14</v>
      </c>
      <c r="D19" s="59" t="e">
        <f>SUMIF(XXXXFinRep!$B:$B,XXXXX!B19,XXXXFinRep!$D:$D)</f>
        <v>#REF!</v>
      </c>
      <c r="E19" s="59" t="e">
        <f>SUMIF(XXXXFinRep!$B:$B,XXXXX!B19,XXXXFinRep!$H:$H)</f>
        <v>#REF!</v>
      </c>
      <c r="F19" s="59" t="e">
        <f>SUMIF(XXXXFinRep!$B:$B,XXXXX!B19,XXXXFinRep!$I:$I)</f>
        <v>#REF!</v>
      </c>
    </row>
    <row r="20" spans="1:7" x14ac:dyDescent="0.25">
      <c r="A20" s="52" t="s">
        <v>15</v>
      </c>
      <c r="C20" s="1" t="s">
        <v>16</v>
      </c>
      <c r="D20" s="59"/>
      <c r="E20" s="59"/>
      <c r="F20" s="59"/>
    </row>
    <row r="21" spans="1:7" x14ac:dyDescent="0.25">
      <c r="A21" s="52"/>
      <c r="B21" s="48" t="s">
        <v>135</v>
      </c>
      <c r="C21" s="2" t="e">
        <f>#REF!</f>
        <v>#REF!</v>
      </c>
      <c r="D21" s="59" t="e">
        <f>SUMIF(XXXXFinRep!$B:$B,XXXXX!B21,XXXXFinRep!$D:$D)</f>
        <v>#REF!</v>
      </c>
      <c r="E21" s="59" t="e">
        <f>SUMIF(XXXXFinRep!$B:$B,XXXXX!B21,XXXXFinRep!$H:$H)</f>
        <v>#REF!</v>
      </c>
      <c r="F21" s="59" t="e">
        <f>SUMIF(XXXXFinRep!$B:$B,XXXXX!B21,XXXXFinRep!$I:$I)</f>
        <v>#REF!</v>
      </c>
    </row>
    <row r="22" spans="1:7" x14ac:dyDescent="0.25">
      <c r="A22" s="52"/>
      <c r="B22" s="48" t="s">
        <v>136</v>
      </c>
      <c r="C22" s="2" t="e">
        <f>#REF!</f>
        <v>#REF!</v>
      </c>
      <c r="D22" s="59" t="e">
        <f>SUMIF(XXXXFinRep!$B:$B,XXXXX!B22,XXXXFinRep!$D:$D)</f>
        <v>#REF!</v>
      </c>
      <c r="E22" s="59" t="e">
        <f>SUMIF(XXXXFinRep!$B:$B,XXXXX!B22,XXXXFinRep!$H:$H)</f>
        <v>#REF!</v>
      </c>
      <c r="F22" s="59" t="e">
        <f>SUMIF(XXXXFinRep!$B:$B,XXXXX!B22,XXXXFinRep!$I:$I)</f>
        <v>#REF!</v>
      </c>
    </row>
    <row r="23" spans="1:7" x14ac:dyDescent="0.25">
      <c r="A23" s="52"/>
      <c r="B23" s="48" t="s">
        <v>137</v>
      </c>
      <c r="C23" s="2" t="e">
        <f>#REF!</f>
        <v>#REF!</v>
      </c>
      <c r="D23" s="59" t="e">
        <f>SUMIF(XXXXFinRep!$B:$B,XXXXX!B23,XXXXFinRep!$D:$D)</f>
        <v>#REF!</v>
      </c>
      <c r="E23" s="59" t="e">
        <f>SUMIF(XXXXFinRep!$B:$B,XXXXX!B23,XXXXFinRep!$H:$H)</f>
        <v>#REF!</v>
      </c>
      <c r="F23" s="59" t="e">
        <f>SUMIF(XXXXFinRep!$B:$B,XXXXX!B23,XXXXFinRep!$I:$I)</f>
        <v>#REF!</v>
      </c>
    </row>
    <row r="24" spans="1:7" x14ac:dyDescent="0.25">
      <c r="A24" s="52"/>
      <c r="B24" s="48" t="s">
        <v>138</v>
      </c>
      <c r="C24" s="2" t="e">
        <f>#REF!</f>
        <v>#REF!</v>
      </c>
      <c r="D24" s="59" t="e">
        <f>SUMIF(XXXXFinRep!$B:$B,XXXXX!B24,XXXXFinRep!$D:$D)</f>
        <v>#REF!</v>
      </c>
      <c r="E24" s="59" t="e">
        <f>SUMIF(XXXXFinRep!$B:$B,XXXXX!B24,XXXXFinRep!$H:$H)</f>
        <v>#REF!</v>
      </c>
      <c r="F24" s="59" t="e">
        <f>SUMIF(XXXXFinRep!$B:$B,XXXXX!B24,XXXXFinRep!$I:$I)</f>
        <v>#REF!</v>
      </c>
    </row>
    <row r="25" spans="1:7" x14ac:dyDescent="0.25">
      <c r="A25" s="52"/>
      <c r="B25" s="48" t="s">
        <v>139</v>
      </c>
      <c r="C25" s="2" t="e">
        <f>#REF!</f>
        <v>#REF!</v>
      </c>
      <c r="D25" s="59" t="e">
        <f>SUMIF(XXXXFinRep!$B:$B,XXXXX!B25,XXXXFinRep!$D:$D)</f>
        <v>#REF!</v>
      </c>
      <c r="E25" s="59" t="e">
        <f>SUMIF(XXXXFinRep!$B:$B,XXXXX!B25,XXXXFinRep!$H:$H)</f>
        <v>#REF!</v>
      </c>
      <c r="F25" s="59" t="e">
        <f>SUMIF(XXXXFinRep!$B:$B,XXXXX!B25,XXXXFinRep!$I:$I)</f>
        <v>#REF!</v>
      </c>
    </row>
    <row r="26" spans="1:7" x14ac:dyDescent="0.25">
      <c r="A26" s="52"/>
      <c r="D26" s="59"/>
      <c r="E26" s="59"/>
      <c r="F26" s="59"/>
    </row>
    <row r="27" spans="1:7" x14ac:dyDescent="0.25">
      <c r="A27" s="52" t="s">
        <v>17</v>
      </c>
      <c r="C27" s="1" t="s">
        <v>18</v>
      </c>
      <c r="D27" s="59"/>
      <c r="E27" s="59"/>
      <c r="F27" s="59"/>
    </row>
    <row r="28" spans="1:7" x14ac:dyDescent="0.25">
      <c r="A28" s="52"/>
      <c r="B28" s="48" t="s">
        <v>140</v>
      </c>
      <c r="C28" s="2" t="s">
        <v>19</v>
      </c>
      <c r="D28" s="59" t="e">
        <f>SUMIF(XXXXFinRep!$B:$B,XXXXX!B28,XXXXFinRep!$D:$D)</f>
        <v>#REF!</v>
      </c>
      <c r="E28" s="59" t="e">
        <f>SUMIF(XXXXFinRep!$B:$B,XXXXX!B28,XXXXFinRep!$H:$H)</f>
        <v>#REF!</v>
      </c>
      <c r="F28" s="59" t="e">
        <f>SUMIF(XXXXFinRep!$B:$B,XXXXX!B28,XXXXFinRep!$I:$I)</f>
        <v>#REF!</v>
      </c>
    </row>
    <row r="29" spans="1:7" ht="13.8" thickBot="1" x14ac:dyDescent="0.3">
      <c r="A29" s="52"/>
      <c r="B29" s="48" t="s">
        <v>141</v>
      </c>
      <c r="C29" s="2" t="s">
        <v>20</v>
      </c>
      <c r="D29" s="59" t="e">
        <f>SUMIF(XXXXFinRep!$B:$B,XXXXX!B29,XXXXFinRep!$D:$D)</f>
        <v>#REF!</v>
      </c>
      <c r="E29" s="59" t="e">
        <f>SUMIF(XXXXFinRep!$B:$B,XXXXX!B29,XXXXFinRep!$H:$H)</f>
        <v>#REF!</v>
      </c>
      <c r="F29" s="59" t="e">
        <f>SUMIF(XXXXFinRep!$B:$B,XXXXX!B29,XXXXFinRep!$I:$I)</f>
        <v>#REF!</v>
      </c>
    </row>
    <row r="30" spans="1:7" ht="13.8" thickBot="1" x14ac:dyDescent="0.3">
      <c r="A30" s="52"/>
      <c r="C30" s="5" t="s">
        <v>21</v>
      </c>
      <c r="D30" s="60" t="e">
        <f>SUM(D19:D29)</f>
        <v>#REF!</v>
      </c>
      <c r="E30" s="60" t="e">
        <f t="shared" ref="E30:F30" si="1">SUM(E19:E29)</f>
        <v>#REF!</v>
      </c>
      <c r="F30" s="60" t="e">
        <f t="shared" si="1"/>
        <v>#REF!</v>
      </c>
    </row>
    <row r="31" spans="1:7" x14ac:dyDescent="0.25">
      <c r="A31" s="52"/>
      <c r="C31" s="2"/>
      <c r="D31" s="59"/>
      <c r="E31" s="59"/>
      <c r="F31" s="59"/>
    </row>
    <row r="32" spans="1:7" x14ac:dyDescent="0.25">
      <c r="A32" s="52" t="s">
        <v>22</v>
      </c>
      <c r="C32" s="1" t="s">
        <v>23</v>
      </c>
      <c r="D32" s="59"/>
      <c r="E32" s="59"/>
      <c r="F32" s="59"/>
      <c r="G32" s="2"/>
    </row>
    <row r="33" spans="1:7" x14ac:dyDescent="0.25">
      <c r="A33" s="52"/>
      <c r="B33" s="48" t="s">
        <v>142</v>
      </c>
      <c r="C33" s="1" t="s">
        <v>25</v>
      </c>
      <c r="D33" s="59" t="e">
        <f>SUMIF(XXXXFinRep!$B:$B,XXXXX!B33,XXXXFinRep!$D:$D)</f>
        <v>#REF!</v>
      </c>
      <c r="E33" s="59" t="e">
        <f>SUMIF(XXXXFinRep!$B:$B,XXXXX!B33,XXXXFinRep!$H:$H)</f>
        <v>#REF!</v>
      </c>
      <c r="F33" s="59" t="e">
        <f>SUMIF(XXXXFinRep!$B:$B,XXXXX!B33,XXXXFinRep!$I:$I)</f>
        <v>#REF!</v>
      </c>
      <c r="G33" s="2"/>
    </row>
    <row r="34" spans="1:7" x14ac:dyDescent="0.25">
      <c r="A34" s="52"/>
      <c r="B34" s="48" t="s">
        <v>143</v>
      </c>
      <c r="C34" s="1" t="s">
        <v>27</v>
      </c>
      <c r="D34" s="59" t="e">
        <f>SUMIF(XXXXFinRep!$B:$B,XXXXX!B34,XXXXFinRep!$D:$D)</f>
        <v>#REF!</v>
      </c>
      <c r="E34" s="59" t="e">
        <f>SUMIF(XXXXFinRep!$B:$B,XXXXX!B34,XXXXFinRep!$H:$H)</f>
        <v>#REF!</v>
      </c>
      <c r="F34" s="59" t="e">
        <f>SUMIF(XXXXFinRep!$B:$B,XXXXX!B34,XXXXFinRep!$I:$I)</f>
        <v>#REF!</v>
      </c>
      <c r="G34" s="2"/>
    </row>
    <row r="35" spans="1:7" x14ac:dyDescent="0.25">
      <c r="A35" s="52"/>
      <c r="B35" s="48" t="s">
        <v>144</v>
      </c>
      <c r="C35" s="1" t="s">
        <v>29</v>
      </c>
      <c r="D35" s="59" t="e">
        <f>SUMIF(XXXXFinRep!$B:$B,XXXXX!B35,XXXXFinRep!$D:$D)</f>
        <v>#REF!</v>
      </c>
      <c r="E35" s="59" t="e">
        <f>SUMIF(XXXXFinRep!$B:$B,XXXXX!B35,XXXXFinRep!$H:$H)</f>
        <v>#REF!</v>
      </c>
      <c r="F35" s="59" t="e">
        <f>SUMIF(XXXXFinRep!$B:$B,XXXXX!B35,XXXXFinRep!$I:$I)</f>
        <v>#REF!</v>
      </c>
      <c r="G35" s="2"/>
    </row>
    <row r="36" spans="1:7" x14ac:dyDescent="0.25">
      <c r="A36" s="52"/>
      <c r="B36" s="48" t="s">
        <v>145</v>
      </c>
      <c r="C36" s="1" t="s">
        <v>31</v>
      </c>
      <c r="D36" s="59" t="e">
        <f>SUMIF(XXXXFinRep!$B:$B,XXXXX!B36,XXXXFinRep!$D:$D)</f>
        <v>#REF!</v>
      </c>
      <c r="E36" s="59" t="e">
        <f>SUMIF(XXXXFinRep!$B:$B,XXXXX!B36,XXXXFinRep!$H:$H)</f>
        <v>#REF!</v>
      </c>
      <c r="F36" s="59" t="e">
        <f>SUMIF(XXXXFinRep!$B:$B,XXXXX!B36,XXXXFinRep!$I:$I)</f>
        <v>#REF!</v>
      </c>
      <c r="G36" s="2"/>
    </row>
    <row r="37" spans="1:7" x14ac:dyDescent="0.25">
      <c r="A37" s="52"/>
      <c r="B37" s="48" t="s">
        <v>146</v>
      </c>
      <c r="C37" s="1" t="s">
        <v>33</v>
      </c>
      <c r="D37" s="59" t="e">
        <f>SUMIF(XXXXFinRep!$B:$B,XXXXX!B37,XXXXFinRep!$D:$D)</f>
        <v>#REF!</v>
      </c>
      <c r="E37" s="59" t="e">
        <f>SUMIF(XXXXFinRep!$B:$B,XXXXX!B37,XXXXFinRep!$H:$H)</f>
        <v>#REF!</v>
      </c>
      <c r="F37" s="59" t="e">
        <f>SUMIF(XXXXFinRep!$B:$B,XXXXX!B37,XXXXFinRep!$I:$I)</f>
        <v>#REF!</v>
      </c>
      <c r="G37" s="2"/>
    </row>
    <row r="38" spans="1:7" ht="13.8" thickBot="1" x14ac:dyDescent="0.3">
      <c r="A38" s="52"/>
      <c r="B38" s="48" t="s">
        <v>147</v>
      </c>
      <c r="C38" s="1" t="s">
        <v>35</v>
      </c>
      <c r="D38" s="59" t="e">
        <f>SUMIF(XXXXFinRep!$B:$B,XXXXX!B38,XXXXFinRep!$D:$D)</f>
        <v>#REF!</v>
      </c>
      <c r="E38" s="59" t="e">
        <f>SUMIF(XXXXFinRep!$B:$B,XXXXX!B38,XXXXFinRep!$H:$H)</f>
        <v>#REF!</v>
      </c>
      <c r="F38" s="59" t="e">
        <f>SUMIF(XXXXFinRep!$B:$B,XXXXX!B38,XXXXFinRep!$I:$I)</f>
        <v>#REF!</v>
      </c>
      <c r="G38" s="2"/>
    </row>
    <row r="39" spans="1:7" ht="13.8" thickBot="1" x14ac:dyDescent="0.3">
      <c r="A39" s="52"/>
      <c r="C39" s="5" t="s">
        <v>36</v>
      </c>
      <c r="D39" s="60" t="e">
        <f>SUM(D33:D38)</f>
        <v>#REF!</v>
      </c>
      <c r="E39" s="60" t="e">
        <f t="shared" ref="E39:F39" si="2">SUM(E33:E38)</f>
        <v>#REF!</v>
      </c>
      <c r="F39" s="60" t="e">
        <f t="shared" si="2"/>
        <v>#REF!</v>
      </c>
      <c r="G39" s="2"/>
    </row>
    <row r="40" spans="1:7" ht="13.8" thickBot="1" x14ac:dyDescent="0.3">
      <c r="A40" s="52"/>
      <c r="C40" s="27"/>
      <c r="D40" s="61"/>
      <c r="E40" s="61"/>
      <c r="F40" s="61"/>
      <c r="G40" s="2"/>
    </row>
    <row r="41" spans="1:7" ht="13.8" thickBot="1" x14ac:dyDescent="0.3">
      <c r="A41" s="52"/>
      <c r="C41" s="27" t="s">
        <v>148</v>
      </c>
      <c r="D41" s="62" t="e">
        <f>D39+D30</f>
        <v>#REF!</v>
      </c>
      <c r="E41" s="60" t="e">
        <f t="shared" ref="E41:F41" si="3">E39+E30</f>
        <v>#REF!</v>
      </c>
      <c r="F41" s="63" t="e">
        <f t="shared" si="3"/>
        <v>#REF!</v>
      </c>
      <c r="G41" s="2"/>
    </row>
    <row r="42" spans="1:7" ht="13.8" thickBot="1" x14ac:dyDescent="0.3">
      <c r="A42" s="52"/>
      <c r="D42" s="59"/>
      <c r="E42" s="59"/>
      <c r="F42" s="59"/>
      <c r="G42" s="2"/>
    </row>
    <row r="43" spans="1:7" ht="13.8" thickBot="1" x14ac:dyDescent="0.3">
      <c r="A43" s="52" t="s">
        <v>37</v>
      </c>
      <c r="B43" s="48" t="s">
        <v>149</v>
      </c>
      <c r="C43" s="1" t="s">
        <v>38</v>
      </c>
      <c r="D43" s="60" t="e">
        <f>SUMIF(XXXXFinRep!$B:$B,XXXXX!B43,XXXXFinRep!$D:$D)</f>
        <v>#REF!</v>
      </c>
      <c r="E43" s="60">
        <f>SUMIF(XXXXFinRep!$B:$B,XXXXX!B43,XXXXFinRep!$H:$H)</f>
        <v>0</v>
      </c>
      <c r="F43" s="60" t="e">
        <f>SUMIF(XXXXFinRep!$B:$B,XXXXX!B43,XXXXFinRep!$I:$I)</f>
        <v>#REF!</v>
      </c>
      <c r="G43" s="2"/>
    </row>
    <row r="44" spans="1:7" x14ac:dyDescent="0.25">
      <c r="A44" s="52"/>
      <c r="D44" s="64"/>
      <c r="E44" s="64"/>
      <c r="F44" s="64"/>
    </row>
    <row r="45" spans="1:7" ht="13.8" thickBot="1" x14ac:dyDescent="0.3">
      <c r="A45" s="52"/>
      <c r="D45" s="59"/>
      <c r="E45" s="59"/>
      <c r="F45" s="59"/>
    </row>
    <row r="46" spans="1:7" ht="13.8" thickBot="1" x14ac:dyDescent="0.3">
      <c r="A46" s="53" t="s">
        <v>150</v>
      </c>
      <c r="B46" s="54"/>
      <c r="C46" s="10"/>
      <c r="D46" s="65" t="e">
        <f>SUM(D41,D43)</f>
        <v>#REF!</v>
      </c>
      <c r="E46" s="65" t="e">
        <f t="shared" ref="E46:F46" si="4">SUM(E41,E43)</f>
        <v>#REF!</v>
      </c>
      <c r="F46" s="65" t="e">
        <f t="shared" si="4"/>
        <v>#REF!</v>
      </c>
    </row>
    <row r="47" spans="1:7" ht="14.4" thickTop="1" thickBot="1" x14ac:dyDescent="0.3">
      <c r="A47" s="142"/>
      <c r="B47" s="142"/>
      <c r="C47" s="6"/>
      <c r="D47" s="143"/>
    </row>
    <row r="48" spans="1:7" ht="13.8" thickBot="1" x14ac:dyDescent="0.3">
      <c r="A48" s="115" t="s">
        <v>40</v>
      </c>
      <c r="B48" s="116"/>
      <c r="C48" s="117"/>
      <c r="D48" s="119" t="e">
        <f>D14-D46</f>
        <v>#REF!</v>
      </c>
      <c r="E48" s="119" t="e">
        <f t="shared" ref="E48:F48" si="5">E14-E46</f>
        <v>#REF!</v>
      </c>
      <c r="F48" s="119" t="e">
        <f t="shared" si="5"/>
        <v>#REF!</v>
      </c>
    </row>
    <row r="49" spans="4:4" x14ac:dyDescent="0.25">
      <c r="D49" s="144"/>
    </row>
    <row r="50" spans="4:4" x14ac:dyDescent="0.25">
      <c r="D50" s="145"/>
    </row>
  </sheetData>
  <sheetProtection algorithmName="SHA-512" hashValue="m1KSDTjv/MeQEoAodzyeFxCgJDxnkI+T4sy4sVPDi9SskVUpFqbEbllY/fD/R2JIeqlImI9ao4jKCFQweGUxBQ==" saltValue="8GmKAxgeOT7Xq+O6CTieMw==" spinCount="100000" sheet="1" objects="1" scenarios="1"/>
  <mergeCells count="4">
    <mergeCell ref="A1:D1"/>
    <mergeCell ref="A2:D2"/>
    <mergeCell ref="A3:D3"/>
    <mergeCell ref="A4:D4"/>
  </mergeCells>
  <phoneticPr fontId="3" type="noConversion"/>
  <printOptions horizontalCentered="1" verticalCentered="1"/>
  <pageMargins left="0.55000000000000004" right="0.75" top="0.52" bottom="0.38" header="0.5" footer="0.36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F906-9BAC-420E-B3D0-3B337DF2641E}">
  <sheetPr>
    <tabColor rgb="FFFF0000"/>
  </sheetPr>
  <dimension ref="A1:I296"/>
  <sheetViews>
    <sheetView topLeftCell="B6" zoomScaleNormal="100" zoomScaleSheetLayoutView="100" workbookViewId="0">
      <selection activeCell="B1" sqref="B1:I1048576"/>
    </sheetView>
  </sheetViews>
  <sheetFormatPr defaultColWidth="9.21875" defaultRowHeight="13.2" x14ac:dyDescent="0.25"/>
  <cols>
    <col min="1" max="1" width="4.21875" style="2" hidden="1" customWidth="1"/>
    <col min="2" max="2" width="6.77734375" style="2" customWidth="1"/>
    <col min="3" max="3" width="42.77734375" style="2" customWidth="1"/>
    <col min="4" max="4" width="13.21875" style="2" customWidth="1"/>
    <col min="5" max="6" width="10.77734375" style="130" customWidth="1"/>
    <col min="7" max="8" width="12.21875" style="130" customWidth="1"/>
    <col min="9" max="9" width="16.21875" style="130" bestFit="1" customWidth="1"/>
    <col min="10" max="16384" width="9.21875" style="2"/>
  </cols>
  <sheetData>
    <row r="1" spans="2:9" ht="3.75" customHeight="1" thickBot="1" x14ac:dyDescent="0.3"/>
    <row r="2" spans="2:9" ht="17.399999999999999" x14ac:dyDescent="0.3">
      <c r="B2" s="120" t="e">
        <f>#REF!</f>
        <v>#REF!</v>
      </c>
      <c r="C2" s="121"/>
      <c r="D2" s="121"/>
      <c r="E2" s="121"/>
      <c r="F2" s="121"/>
      <c r="G2" s="121"/>
      <c r="H2" s="121"/>
      <c r="I2" s="131"/>
    </row>
    <row r="3" spans="2:9" ht="17.399999999999999" x14ac:dyDescent="0.3">
      <c r="B3" s="122" t="s">
        <v>151</v>
      </c>
      <c r="C3" s="123"/>
      <c r="D3" s="123"/>
      <c r="E3" s="123"/>
      <c r="F3" s="123"/>
      <c r="G3" s="123"/>
      <c r="H3" s="123"/>
      <c r="I3" s="132"/>
    </row>
    <row r="4" spans="2:9" ht="17.399999999999999" x14ac:dyDescent="0.3">
      <c r="B4" s="122" t="e">
        <f>#REF!</f>
        <v>#REF!</v>
      </c>
      <c r="C4" s="123"/>
      <c r="D4" s="123"/>
      <c r="E4" s="123"/>
      <c r="F4" s="123"/>
      <c r="G4" s="123"/>
      <c r="H4" s="123"/>
      <c r="I4" s="132"/>
    </row>
    <row r="5" spans="2:9" ht="18.600000000000001" thickBot="1" x14ac:dyDescent="0.4">
      <c r="B5" s="124" t="e">
        <f>#REF!</f>
        <v>#REF!</v>
      </c>
      <c r="C5" s="125"/>
      <c r="D5" s="125"/>
      <c r="E5" s="125"/>
      <c r="F5" s="125"/>
      <c r="G5" s="125"/>
      <c r="H5" s="125"/>
      <c r="I5" s="146"/>
    </row>
    <row r="6" spans="2:9" x14ac:dyDescent="0.25">
      <c r="B6" s="27"/>
      <c r="E6" s="2"/>
      <c r="F6" s="2"/>
      <c r="G6" s="2"/>
      <c r="H6" s="2"/>
      <c r="I6" s="2"/>
    </row>
    <row r="7" spans="2:9" ht="13.8" thickBot="1" x14ac:dyDescent="0.3">
      <c r="C7" s="126" t="e">
        <f>#REF!</f>
        <v>#REF!</v>
      </c>
      <c r="D7" s="2" t="e">
        <f>#REF!</f>
        <v>#REF!</v>
      </c>
      <c r="E7" s="2"/>
      <c r="F7" s="2"/>
      <c r="G7" s="2"/>
      <c r="H7" s="2"/>
      <c r="I7" s="2"/>
    </row>
    <row r="8" spans="2:9" ht="40.200000000000003" thickBot="1" x14ac:dyDescent="0.3">
      <c r="B8" s="127" t="s">
        <v>44</v>
      </c>
      <c r="C8" s="18" t="s">
        <v>2</v>
      </c>
      <c r="D8" s="46" t="s">
        <v>45</v>
      </c>
      <c r="E8" s="47" t="s">
        <v>152</v>
      </c>
      <c r="F8" s="47" t="s">
        <v>153</v>
      </c>
      <c r="G8" s="47" t="s">
        <v>154</v>
      </c>
      <c r="H8" s="147" t="s">
        <v>155</v>
      </c>
      <c r="I8" s="133" t="s">
        <v>156</v>
      </c>
    </row>
    <row r="9" spans="2:9" x14ac:dyDescent="0.25">
      <c r="B9" s="19" t="s">
        <v>46</v>
      </c>
      <c r="C9" s="20" t="s">
        <v>5</v>
      </c>
      <c r="D9" s="100" t="e">
        <f>D276</f>
        <v>#REF!</v>
      </c>
      <c r="E9" s="101" t="e">
        <f>SUMIF(#REF!,XXXXFinRep!B9,#REF!)</f>
        <v>#REF!</v>
      </c>
      <c r="F9" s="101" t="e">
        <f>SUMIF(#REF!,XXXXFinRep!B9,#REF!)</f>
        <v>#REF!</v>
      </c>
      <c r="G9" s="101" t="e">
        <f>SUMIF(#REF!,XXXXFinRep!B9,#REF!)</f>
        <v>#REF!</v>
      </c>
      <c r="H9" s="105" t="e">
        <f>SUM(E9:G9)</f>
        <v>#REF!</v>
      </c>
      <c r="I9" s="106" t="e">
        <f>D9-H9</f>
        <v>#REF!</v>
      </c>
    </row>
    <row r="10" spans="2:9" x14ac:dyDescent="0.25">
      <c r="B10" s="19" t="s">
        <v>128</v>
      </c>
      <c r="C10" s="20" t="s">
        <v>6</v>
      </c>
      <c r="D10" s="100"/>
      <c r="E10" s="101"/>
      <c r="F10" s="101"/>
      <c r="G10" s="101"/>
      <c r="H10" s="105">
        <f t="shared" ref="H10:H15" si="0">SUM(E10:G10)</f>
        <v>0</v>
      </c>
      <c r="I10" s="106">
        <f t="shared" ref="I10:I15" si="1">D10-H10</f>
        <v>0</v>
      </c>
    </row>
    <row r="11" spans="2:9" x14ac:dyDescent="0.25">
      <c r="B11" s="19" t="s">
        <v>129</v>
      </c>
      <c r="C11" s="20" t="s">
        <v>7</v>
      </c>
      <c r="D11" s="100"/>
      <c r="E11" s="101"/>
      <c r="F11" s="101"/>
      <c r="G11" s="101"/>
      <c r="H11" s="105">
        <f t="shared" si="0"/>
        <v>0</v>
      </c>
      <c r="I11" s="106">
        <f t="shared" si="1"/>
        <v>0</v>
      </c>
    </row>
    <row r="12" spans="2:9" x14ac:dyDescent="0.25">
      <c r="B12" s="19" t="s">
        <v>130</v>
      </c>
      <c r="C12" s="20" t="s">
        <v>8</v>
      </c>
      <c r="D12" s="100"/>
      <c r="E12" s="101"/>
      <c r="F12" s="101"/>
      <c r="G12" s="101"/>
      <c r="H12" s="105">
        <f t="shared" si="0"/>
        <v>0</v>
      </c>
      <c r="I12" s="106">
        <f t="shared" si="1"/>
        <v>0</v>
      </c>
    </row>
    <row r="13" spans="2:9" x14ac:dyDescent="0.25">
      <c r="B13" s="19" t="s">
        <v>131</v>
      </c>
      <c r="C13" s="20" t="s">
        <v>9</v>
      </c>
      <c r="D13" s="100"/>
      <c r="E13" s="101"/>
      <c r="F13" s="101"/>
      <c r="G13" s="101"/>
      <c r="H13" s="105">
        <f t="shared" si="0"/>
        <v>0</v>
      </c>
      <c r="I13" s="106">
        <f t="shared" si="1"/>
        <v>0</v>
      </c>
    </row>
    <row r="14" spans="2:9" x14ac:dyDescent="0.25">
      <c r="B14" s="19" t="s">
        <v>132</v>
      </c>
      <c r="C14" s="20" t="s">
        <v>10</v>
      </c>
      <c r="D14" s="100"/>
      <c r="E14" s="101"/>
      <c r="F14" s="101"/>
      <c r="G14" s="101"/>
      <c r="H14" s="105">
        <f t="shared" si="0"/>
        <v>0</v>
      </c>
      <c r="I14" s="106">
        <f t="shared" si="1"/>
        <v>0</v>
      </c>
    </row>
    <row r="15" spans="2:9" ht="13.8" thickBot="1" x14ac:dyDescent="0.3">
      <c r="B15" s="19" t="s">
        <v>133</v>
      </c>
      <c r="C15" s="20" t="s">
        <v>11</v>
      </c>
      <c r="D15" s="100" t="e">
        <f>D289</f>
        <v>#REF!</v>
      </c>
      <c r="E15" s="101"/>
      <c r="F15" s="101"/>
      <c r="G15" s="101"/>
      <c r="H15" s="105">
        <f t="shared" si="0"/>
        <v>0</v>
      </c>
      <c r="I15" s="106" t="e">
        <f t="shared" si="1"/>
        <v>#REF!</v>
      </c>
    </row>
    <row r="16" spans="2:9" ht="13.8" thickBot="1" x14ac:dyDescent="0.3">
      <c r="B16" s="128"/>
      <c r="C16" s="148" t="s">
        <v>12</v>
      </c>
      <c r="D16" s="102" t="e">
        <f>SUM(D9:D15)</f>
        <v>#REF!</v>
      </c>
      <c r="E16" s="103" t="e">
        <f t="shared" ref="E16:I16" si="2">SUM(E9:E15)</f>
        <v>#REF!</v>
      </c>
      <c r="F16" s="103" t="e">
        <f t="shared" si="2"/>
        <v>#REF!</v>
      </c>
      <c r="G16" s="103" t="e">
        <f t="shared" si="2"/>
        <v>#REF!</v>
      </c>
      <c r="H16" s="107" t="e">
        <f t="shared" si="2"/>
        <v>#REF!</v>
      </c>
      <c r="I16" s="104" t="e">
        <f t="shared" si="2"/>
        <v>#REF!</v>
      </c>
    </row>
    <row r="17" spans="1:9" ht="13.8" thickBot="1" x14ac:dyDescent="0.3">
      <c r="B17" s="128"/>
      <c r="C17" s="129"/>
      <c r="D17" s="46"/>
      <c r="E17" s="149"/>
      <c r="F17" s="149"/>
      <c r="G17" s="47"/>
      <c r="H17" s="147"/>
      <c r="I17" s="133"/>
    </row>
    <row r="18" spans="1:9" ht="40.200000000000003" thickBot="1" x14ac:dyDescent="0.3">
      <c r="B18" s="127" t="s">
        <v>44</v>
      </c>
      <c r="C18" s="18" t="s">
        <v>47</v>
      </c>
      <c r="D18" s="46" t="s">
        <v>157</v>
      </c>
      <c r="E18" s="47" t="s">
        <v>158</v>
      </c>
      <c r="F18" s="47" t="s">
        <v>159</v>
      </c>
      <c r="G18" s="47" t="s">
        <v>160</v>
      </c>
      <c r="H18" s="147" t="s">
        <v>161</v>
      </c>
      <c r="I18" s="150" t="s">
        <v>156</v>
      </c>
    </row>
    <row r="19" spans="1:9" x14ac:dyDescent="0.25">
      <c r="B19" s="24" t="s">
        <v>53</v>
      </c>
      <c r="C19" s="25"/>
      <c r="D19" s="151"/>
      <c r="E19" s="152"/>
      <c r="F19" s="152"/>
      <c r="G19" s="152"/>
      <c r="H19" s="153"/>
      <c r="I19" s="134"/>
    </row>
    <row r="20" spans="1:9" x14ac:dyDescent="0.25">
      <c r="B20" s="23"/>
      <c r="C20" s="126" t="s">
        <v>54</v>
      </c>
      <c r="D20" s="151"/>
      <c r="E20" s="152"/>
      <c r="F20" s="152"/>
      <c r="G20" s="152"/>
      <c r="H20" s="153"/>
      <c r="I20" s="134"/>
    </row>
    <row r="21" spans="1:9" x14ac:dyDescent="0.25">
      <c r="A21" s="2">
        <v>1</v>
      </c>
      <c r="B21" s="19" t="e">
        <f>VLOOKUP(A21,#REF!,2,FALSE)</f>
        <v>#REF!</v>
      </c>
      <c r="C21" s="20" t="e">
        <f>VLOOKUP(B21,#REF!,2,FALSE)</f>
        <v>#REF!</v>
      </c>
      <c r="D21" s="66" t="e">
        <f>SUMIF(#REF!,XXXXFinRep!B21,#REF!)</f>
        <v>#REF!</v>
      </c>
      <c r="E21" s="67" t="e">
        <f>SUMIF(#REF!,XXXXFinRep!B21,#REF!)+SUMIF(#REF!,XXXXFinRep!B21,#REF!)</f>
        <v>#REF!</v>
      </c>
      <c r="F21" s="67" t="e">
        <f>SUMIF(#REF!,XXXXFinRep!B21,#REF!)+SUMIF(#REF!,XXXXFinRep!B21,#REF!)</f>
        <v>#REF!</v>
      </c>
      <c r="G21" s="67" t="e">
        <f>SUMIF(#REF!,XXXXFinRep!B21,#REF!)+SUMIF(#REF!,XXXXFinRep!B21,#REF!)</f>
        <v>#REF!</v>
      </c>
      <c r="H21" s="68" t="e">
        <f>SUM(E21,F21,G21)</f>
        <v>#REF!</v>
      </c>
      <c r="I21" s="69" t="e">
        <f>SUM(D21-H21)</f>
        <v>#REF!</v>
      </c>
    </row>
    <row r="22" spans="1:9" x14ac:dyDescent="0.25">
      <c r="A22" s="2">
        <v>2</v>
      </c>
      <c r="B22" s="19" t="e">
        <f>VLOOKUP(A22,#REF!,2,FALSE)</f>
        <v>#REF!</v>
      </c>
      <c r="C22" s="20" t="e">
        <f>VLOOKUP(B22,#REF!,2,FALSE)</f>
        <v>#REF!</v>
      </c>
      <c r="D22" s="66" t="e">
        <f>SUMIF(#REF!,XXXXFinRep!B22,#REF!)</f>
        <v>#REF!</v>
      </c>
      <c r="E22" s="67" t="e">
        <f>SUMIF(#REF!,XXXXFinRep!B22,#REF!)+SUMIF(#REF!,XXXXFinRep!B22,#REF!)</f>
        <v>#REF!</v>
      </c>
      <c r="F22" s="67" t="e">
        <f>SUMIF(#REF!,XXXXFinRep!B22,#REF!)+SUMIF(#REF!,XXXXFinRep!B22,#REF!)</f>
        <v>#REF!</v>
      </c>
      <c r="G22" s="67" t="e">
        <f>SUMIF(#REF!,XXXXFinRep!B22,#REF!)+SUMIF(#REF!,XXXXFinRep!B22,#REF!)</f>
        <v>#REF!</v>
      </c>
      <c r="H22" s="68" t="e">
        <f t="shared" ref="H22:H30" si="3">SUM(E22,F22,G22)</f>
        <v>#REF!</v>
      </c>
      <c r="I22" s="69" t="e">
        <f t="shared" ref="I22:I30" si="4">SUM(D22-H22)</f>
        <v>#REF!</v>
      </c>
    </row>
    <row r="23" spans="1:9" x14ac:dyDescent="0.25">
      <c r="A23" s="2">
        <v>3</v>
      </c>
      <c r="B23" s="19" t="e">
        <f>VLOOKUP(A23,#REF!,2,FALSE)</f>
        <v>#REF!</v>
      </c>
      <c r="C23" s="20" t="e">
        <f>VLOOKUP(B23,#REF!,2,FALSE)</f>
        <v>#REF!</v>
      </c>
      <c r="D23" s="66" t="e">
        <f>SUMIF(#REF!,XXXXFinRep!B23,#REF!)</f>
        <v>#REF!</v>
      </c>
      <c r="E23" s="67" t="e">
        <f>SUMIF(#REF!,XXXXFinRep!B23,#REF!)+SUMIF(#REF!,XXXXFinRep!B23,#REF!)</f>
        <v>#REF!</v>
      </c>
      <c r="F23" s="67" t="e">
        <f>SUMIF(#REF!,XXXXFinRep!B23,#REF!)+SUMIF(#REF!,XXXXFinRep!B23,#REF!)</f>
        <v>#REF!</v>
      </c>
      <c r="G23" s="67" t="e">
        <f>SUMIF(#REF!,XXXXFinRep!B23,#REF!)+SUMIF(#REF!,XXXXFinRep!B23,#REF!)</f>
        <v>#REF!</v>
      </c>
      <c r="H23" s="68" t="e">
        <f t="shared" si="3"/>
        <v>#REF!</v>
      </c>
      <c r="I23" s="69" t="e">
        <f t="shared" si="4"/>
        <v>#REF!</v>
      </c>
    </row>
    <row r="24" spans="1:9" x14ac:dyDescent="0.25">
      <c r="A24" s="2">
        <v>4</v>
      </c>
      <c r="B24" s="19" t="e">
        <f>VLOOKUP(A24,#REF!,2,FALSE)</f>
        <v>#REF!</v>
      </c>
      <c r="C24" s="20" t="e">
        <f>VLOOKUP(B24,#REF!,2,FALSE)</f>
        <v>#REF!</v>
      </c>
      <c r="D24" s="66" t="e">
        <f>SUMIF(#REF!,XXXXFinRep!B24,#REF!)</f>
        <v>#REF!</v>
      </c>
      <c r="E24" s="67" t="e">
        <f>SUMIF(#REF!,XXXXFinRep!B24,#REF!)+SUMIF(#REF!,XXXXFinRep!B24,#REF!)</f>
        <v>#REF!</v>
      </c>
      <c r="F24" s="67" t="e">
        <f>SUMIF(#REF!,XXXXFinRep!B24,#REF!)+SUMIF(#REF!,XXXXFinRep!B24,#REF!)</f>
        <v>#REF!</v>
      </c>
      <c r="G24" s="67" t="e">
        <f>SUMIF(#REF!,XXXXFinRep!B24,#REF!)+SUMIF(#REF!,XXXXFinRep!B24,#REF!)</f>
        <v>#REF!</v>
      </c>
      <c r="H24" s="68" t="e">
        <f t="shared" si="3"/>
        <v>#REF!</v>
      </c>
      <c r="I24" s="69" t="e">
        <f t="shared" si="4"/>
        <v>#REF!</v>
      </c>
    </row>
    <row r="25" spans="1:9" x14ac:dyDescent="0.25">
      <c r="A25" s="2">
        <v>5</v>
      </c>
      <c r="B25" s="19" t="e">
        <f>VLOOKUP(A25,#REF!,2,FALSE)</f>
        <v>#REF!</v>
      </c>
      <c r="C25" s="20" t="e">
        <f>VLOOKUP(B25,#REF!,2,FALSE)</f>
        <v>#REF!</v>
      </c>
      <c r="D25" s="66" t="e">
        <f>SUMIF(#REF!,XXXXFinRep!B25,#REF!)</f>
        <v>#REF!</v>
      </c>
      <c r="E25" s="67" t="e">
        <f>SUMIF(#REF!,XXXXFinRep!B25,#REF!)+SUMIF(#REF!,XXXXFinRep!B25,#REF!)</f>
        <v>#REF!</v>
      </c>
      <c r="F25" s="67" t="e">
        <f>SUMIF(#REF!,XXXXFinRep!B25,#REF!)+SUMIF(#REF!,XXXXFinRep!B25,#REF!)</f>
        <v>#REF!</v>
      </c>
      <c r="G25" s="67" t="e">
        <f>SUMIF(#REF!,XXXXFinRep!B25,#REF!)+SUMIF(#REF!,XXXXFinRep!B25,#REF!)</f>
        <v>#REF!</v>
      </c>
      <c r="H25" s="68" t="e">
        <f t="shared" si="3"/>
        <v>#REF!</v>
      </c>
      <c r="I25" s="69" t="e">
        <f t="shared" si="4"/>
        <v>#REF!</v>
      </c>
    </row>
    <row r="26" spans="1:9" x14ac:dyDescent="0.25">
      <c r="A26" s="2">
        <v>6</v>
      </c>
      <c r="B26" s="19" t="e">
        <f>VLOOKUP(A26,#REF!,2,FALSE)</f>
        <v>#REF!</v>
      </c>
      <c r="C26" s="20" t="e">
        <f>VLOOKUP(B26,#REF!,2,FALSE)</f>
        <v>#REF!</v>
      </c>
      <c r="D26" s="66" t="e">
        <f>SUMIF(#REF!,XXXXFinRep!B26,#REF!)</f>
        <v>#REF!</v>
      </c>
      <c r="E26" s="67" t="e">
        <f>SUMIF(#REF!,XXXXFinRep!B26,#REF!)+SUMIF(#REF!,XXXXFinRep!B26,#REF!)</f>
        <v>#REF!</v>
      </c>
      <c r="F26" s="67" t="e">
        <f>SUMIF(#REF!,XXXXFinRep!B26,#REF!)+SUMIF(#REF!,XXXXFinRep!B26,#REF!)</f>
        <v>#REF!</v>
      </c>
      <c r="G26" s="67" t="e">
        <f>SUMIF(#REF!,XXXXFinRep!B26,#REF!)+SUMIF(#REF!,XXXXFinRep!B26,#REF!)</f>
        <v>#REF!</v>
      </c>
      <c r="H26" s="68" t="e">
        <f t="shared" si="3"/>
        <v>#REF!</v>
      </c>
      <c r="I26" s="69" t="e">
        <f t="shared" si="4"/>
        <v>#REF!</v>
      </c>
    </row>
    <row r="27" spans="1:9" x14ac:dyDescent="0.25">
      <c r="A27" s="2">
        <v>7</v>
      </c>
      <c r="B27" s="19" t="e">
        <f>VLOOKUP(A27,#REF!,2,FALSE)</f>
        <v>#REF!</v>
      </c>
      <c r="C27" s="20" t="e">
        <f>VLOOKUP(B27,#REF!,2,FALSE)</f>
        <v>#REF!</v>
      </c>
      <c r="D27" s="66" t="e">
        <f>SUMIF(#REF!,XXXXFinRep!B27,#REF!)</f>
        <v>#REF!</v>
      </c>
      <c r="E27" s="67" t="e">
        <f>SUMIF(#REF!,XXXXFinRep!B27,#REF!)+SUMIF(#REF!,XXXXFinRep!B27,#REF!)</f>
        <v>#REF!</v>
      </c>
      <c r="F27" s="67" t="e">
        <f>SUMIF(#REF!,XXXXFinRep!B27,#REF!)+SUMIF(#REF!,XXXXFinRep!B27,#REF!)</f>
        <v>#REF!</v>
      </c>
      <c r="G27" s="67" t="e">
        <f>SUMIF(#REF!,XXXXFinRep!B27,#REF!)+SUMIF(#REF!,XXXXFinRep!B27,#REF!)</f>
        <v>#REF!</v>
      </c>
      <c r="H27" s="68" t="e">
        <f t="shared" si="3"/>
        <v>#REF!</v>
      </c>
      <c r="I27" s="69" t="e">
        <f t="shared" si="4"/>
        <v>#REF!</v>
      </c>
    </row>
    <row r="28" spans="1:9" x14ac:dyDescent="0.25">
      <c r="A28" s="2">
        <v>8</v>
      </c>
      <c r="B28" s="19" t="e">
        <f>VLOOKUP(A28,#REF!,2,FALSE)</f>
        <v>#REF!</v>
      </c>
      <c r="C28" s="20" t="e">
        <f>VLOOKUP(B28,#REF!,2,FALSE)</f>
        <v>#REF!</v>
      </c>
      <c r="D28" s="66" t="e">
        <f>SUMIF(#REF!,XXXXFinRep!B28,#REF!)</f>
        <v>#REF!</v>
      </c>
      <c r="E28" s="67" t="e">
        <f>SUMIF(#REF!,XXXXFinRep!B28,#REF!)+SUMIF(#REF!,XXXXFinRep!B28,#REF!)</f>
        <v>#REF!</v>
      </c>
      <c r="F28" s="67" t="e">
        <f>SUMIF(#REF!,XXXXFinRep!B28,#REF!)+SUMIF(#REF!,XXXXFinRep!B28,#REF!)</f>
        <v>#REF!</v>
      </c>
      <c r="G28" s="67" t="e">
        <f>SUMIF(#REF!,XXXXFinRep!B28,#REF!)+SUMIF(#REF!,XXXXFinRep!B28,#REF!)</f>
        <v>#REF!</v>
      </c>
      <c r="H28" s="68" t="e">
        <f t="shared" si="3"/>
        <v>#REF!</v>
      </c>
      <c r="I28" s="69" t="e">
        <f t="shared" si="4"/>
        <v>#REF!</v>
      </c>
    </row>
    <row r="29" spans="1:9" x14ac:dyDescent="0.25">
      <c r="A29" s="2">
        <v>9</v>
      </c>
      <c r="B29" s="19" t="e">
        <f>VLOOKUP(A29,#REF!,2,FALSE)</f>
        <v>#REF!</v>
      </c>
      <c r="C29" s="20" t="e">
        <f>VLOOKUP(B29,#REF!,2,FALSE)</f>
        <v>#REF!</v>
      </c>
      <c r="D29" s="66" t="e">
        <f>SUMIF(#REF!,XXXXFinRep!B29,#REF!)</f>
        <v>#REF!</v>
      </c>
      <c r="E29" s="67" t="e">
        <f>SUMIF(#REF!,XXXXFinRep!B29,#REF!)+SUMIF(#REF!,XXXXFinRep!B29,#REF!)</f>
        <v>#REF!</v>
      </c>
      <c r="F29" s="67" t="e">
        <f>SUMIF(#REF!,XXXXFinRep!B29,#REF!)+SUMIF(#REF!,XXXXFinRep!B29,#REF!)</f>
        <v>#REF!</v>
      </c>
      <c r="G29" s="67" t="e">
        <f>SUMIF(#REF!,XXXXFinRep!B29,#REF!)+SUMIF(#REF!,XXXXFinRep!B29,#REF!)</f>
        <v>#REF!</v>
      </c>
      <c r="H29" s="68" t="e">
        <f t="shared" si="3"/>
        <v>#REF!</v>
      </c>
      <c r="I29" s="69" t="e">
        <f t="shared" si="4"/>
        <v>#REF!</v>
      </c>
    </row>
    <row r="30" spans="1:9" ht="13.8" thickBot="1" x14ac:dyDescent="0.3">
      <c r="A30" s="2">
        <v>10</v>
      </c>
      <c r="B30" s="19" t="e">
        <f>VLOOKUP(A30,#REF!,2,FALSE)</f>
        <v>#REF!</v>
      </c>
      <c r="C30" s="20" t="e">
        <f>VLOOKUP(B30,#REF!,2,FALSE)</f>
        <v>#REF!</v>
      </c>
      <c r="D30" s="66" t="e">
        <f>SUMIF(#REF!,XXXXFinRep!B30,#REF!)</f>
        <v>#REF!</v>
      </c>
      <c r="E30" s="67" t="e">
        <f>SUMIF(#REF!,XXXXFinRep!B30,#REF!)+SUMIF(#REF!,XXXXFinRep!B30,#REF!)</f>
        <v>#REF!</v>
      </c>
      <c r="F30" s="67" t="e">
        <f>SUMIF(#REF!,XXXXFinRep!B30,#REF!)+SUMIF(#REF!,XXXXFinRep!B30,#REF!)</f>
        <v>#REF!</v>
      </c>
      <c r="G30" s="67" t="e">
        <f>SUMIF(#REF!,XXXXFinRep!B30,#REF!)+SUMIF(#REF!,XXXXFinRep!B30,#REF!)</f>
        <v>#REF!</v>
      </c>
      <c r="H30" s="68" t="e">
        <f t="shared" si="3"/>
        <v>#REF!</v>
      </c>
      <c r="I30" s="69" t="e">
        <f t="shared" si="4"/>
        <v>#REF!</v>
      </c>
    </row>
    <row r="31" spans="1:9" ht="13.8" thickBot="1" x14ac:dyDescent="0.3">
      <c r="B31" s="21" t="s">
        <v>134</v>
      </c>
      <c r="C31" s="22" t="s">
        <v>162</v>
      </c>
      <c r="D31" s="70" t="e">
        <f>SUM(D21:D30)</f>
        <v>#REF!</v>
      </c>
      <c r="E31" s="70" t="e">
        <f t="shared" ref="E31:I31" si="5">SUM(E21:E30)</f>
        <v>#REF!</v>
      </c>
      <c r="F31" s="70" t="e">
        <f t="shared" si="5"/>
        <v>#REF!</v>
      </c>
      <c r="G31" s="70" t="e">
        <f t="shared" si="5"/>
        <v>#REF!</v>
      </c>
      <c r="H31" s="70" t="e">
        <f t="shared" si="5"/>
        <v>#REF!</v>
      </c>
      <c r="I31" s="70" t="e">
        <f t="shared" si="5"/>
        <v>#REF!</v>
      </c>
    </row>
    <row r="32" spans="1:9" x14ac:dyDescent="0.25">
      <c r="B32" s="23"/>
      <c r="D32" s="71"/>
      <c r="E32" s="72"/>
      <c r="F32" s="72"/>
      <c r="G32" s="72"/>
      <c r="H32" s="73"/>
      <c r="I32" s="74"/>
    </row>
    <row r="33" spans="1:9" x14ac:dyDescent="0.25">
      <c r="B33" s="24" t="s">
        <v>55</v>
      </c>
      <c r="C33" s="25"/>
      <c r="D33" s="66"/>
      <c r="E33" s="67"/>
      <c r="F33" s="67"/>
      <c r="G33" s="67"/>
      <c r="H33" s="68"/>
      <c r="I33" s="69"/>
    </row>
    <row r="34" spans="1:9" x14ac:dyDescent="0.25">
      <c r="B34" s="26">
        <v>1</v>
      </c>
      <c r="C34" s="27" t="e">
        <f>VLOOKUP(B34,#REF!,2,FALSE)</f>
        <v>#REF!</v>
      </c>
      <c r="D34" s="66"/>
      <c r="E34" s="67"/>
      <c r="F34" s="67"/>
      <c r="G34" s="67"/>
      <c r="H34" s="68"/>
      <c r="I34" s="69"/>
    </row>
    <row r="35" spans="1:9" x14ac:dyDescent="0.25">
      <c r="A35" s="2">
        <v>11</v>
      </c>
      <c r="B35" s="19" t="e">
        <f>VLOOKUP(A35,#REF!,2,FALSE)</f>
        <v>#REF!</v>
      </c>
      <c r="C35" s="20" t="e">
        <f>VLOOKUP(B35,#REF!,2,FALSE)</f>
        <v>#REF!</v>
      </c>
      <c r="D35" s="66" t="e">
        <f>SUMIF(#REF!,XXXXFinRep!B35,#REF!)</f>
        <v>#REF!</v>
      </c>
      <c r="E35" s="67" t="e">
        <f>SUMIF(#REF!,XXXXFinRep!B35,#REF!)+SUMIF(#REF!,XXXXFinRep!B35,#REF!)</f>
        <v>#REF!</v>
      </c>
      <c r="F35" s="67" t="e">
        <f>SUMIF(#REF!,XXXXFinRep!B35,#REF!)+SUMIF(#REF!,XXXXFinRep!B35,#REF!)</f>
        <v>#REF!</v>
      </c>
      <c r="G35" s="67" t="e">
        <f>SUMIF(#REF!,XXXXFinRep!B35,#REF!)+SUMIF(#REF!,XXXXFinRep!B35,#REF!)</f>
        <v>#REF!</v>
      </c>
      <c r="H35" s="68" t="e">
        <f t="shared" ref="H35:H54" si="6">SUM(E35,F35,G35)</f>
        <v>#REF!</v>
      </c>
      <c r="I35" s="69" t="e">
        <f t="shared" ref="I35:I54" si="7">SUM(D35-H35)</f>
        <v>#REF!</v>
      </c>
    </row>
    <row r="36" spans="1:9" x14ac:dyDescent="0.25">
      <c r="A36" s="2">
        <v>12</v>
      </c>
      <c r="B36" s="19" t="e">
        <f>VLOOKUP(A36,#REF!,2,FALSE)</f>
        <v>#REF!</v>
      </c>
      <c r="C36" s="20" t="e">
        <f>VLOOKUP(B36,#REF!,2,FALSE)</f>
        <v>#REF!</v>
      </c>
      <c r="D36" s="66" t="e">
        <f>SUMIF(#REF!,XXXXFinRep!B36,#REF!)</f>
        <v>#REF!</v>
      </c>
      <c r="E36" s="67" t="e">
        <f>SUMIF(#REF!,XXXXFinRep!B36,#REF!)+SUMIF(#REF!,XXXXFinRep!B36,#REF!)</f>
        <v>#REF!</v>
      </c>
      <c r="F36" s="67" t="e">
        <f>SUMIF(#REF!,XXXXFinRep!B36,#REF!)+SUMIF(#REF!,XXXXFinRep!B36,#REF!)</f>
        <v>#REF!</v>
      </c>
      <c r="G36" s="67" t="e">
        <f>SUMIF(#REF!,XXXXFinRep!B36,#REF!)+SUMIF(#REF!,XXXXFinRep!B36,#REF!)</f>
        <v>#REF!</v>
      </c>
      <c r="H36" s="68" t="e">
        <f t="shared" si="6"/>
        <v>#REF!</v>
      </c>
      <c r="I36" s="69" t="e">
        <f t="shared" si="7"/>
        <v>#REF!</v>
      </c>
    </row>
    <row r="37" spans="1:9" x14ac:dyDescent="0.25">
      <c r="A37" s="2">
        <v>13</v>
      </c>
      <c r="B37" s="19" t="e">
        <f>VLOOKUP(A37,#REF!,2,FALSE)</f>
        <v>#REF!</v>
      </c>
      <c r="C37" s="20" t="e">
        <f>VLOOKUP(B37,#REF!,2,FALSE)</f>
        <v>#REF!</v>
      </c>
      <c r="D37" s="66" t="e">
        <f>SUMIF(#REF!,XXXXFinRep!B37,#REF!)</f>
        <v>#REF!</v>
      </c>
      <c r="E37" s="75" t="e">
        <f>SUMIF(#REF!,XXXXFinRep!B37,#REF!)+SUMIF(#REF!,XXXXFinRep!B37,#REF!)</f>
        <v>#REF!</v>
      </c>
      <c r="F37" s="75" t="e">
        <f>SUMIF(#REF!,XXXXFinRep!B37,#REF!)+SUMIF(#REF!,XXXXFinRep!B37,#REF!)</f>
        <v>#REF!</v>
      </c>
      <c r="G37" s="75" t="e">
        <f>SUMIF(#REF!,XXXXFinRep!B37,#REF!)+SUMIF(#REF!,XXXXFinRep!B37,#REF!)</f>
        <v>#REF!</v>
      </c>
      <c r="H37" s="76" t="e">
        <f t="shared" si="6"/>
        <v>#REF!</v>
      </c>
      <c r="I37" s="77" t="e">
        <f t="shared" si="7"/>
        <v>#REF!</v>
      </c>
    </row>
    <row r="38" spans="1:9" x14ac:dyDescent="0.25">
      <c r="A38" s="2">
        <v>14</v>
      </c>
      <c r="B38" s="19" t="e">
        <f>VLOOKUP(A38,#REF!,2,FALSE)</f>
        <v>#REF!</v>
      </c>
      <c r="C38" s="20" t="e">
        <f>VLOOKUP(B38,#REF!,2,FALSE)</f>
        <v>#REF!</v>
      </c>
      <c r="D38" s="66" t="e">
        <f>SUMIF(#REF!,XXXXFinRep!B38,#REF!)</f>
        <v>#REF!</v>
      </c>
      <c r="E38" s="75" t="e">
        <f>SUMIF(#REF!,XXXXFinRep!B38,#REF!)+SUMIF(#REF!,XXXXFinRep!B38,#REF!)</f>
        <v>#REF!</v>
      </c>
      <c r="F38" s="75" t="e">
        <f>SUMIF(#REF!,XXXXFinRep!B38,#REF!)+SUMIF(#REF!,XXXXFinRep!B38,#REF!)</f>
        <v>#REF!</v>
      </c>
      <c r="G38" s="75" t="e">
        <f>SUMIF(#REF!,XXXXFinRep!B38,#REF!)+SUMIF(#REF!,XXXXFinRep!B38,#REF!)</f>
        <v>#REF!</v>
      </c>
      <c r="H38" s="76" t="e">
        <f t="shared" si="6"/>
        <v>#REF!</v>
      </c>
      <c r="I38" s="77" t="e">
        <f t="shared" si="7"/>
        <v>#REF!</v>
      </c>
    </row>
    <row r="39" spans="1:9" x14ac:dyDescent="0.25">
      <c r="A39" s="2">
        <v>15</v>
      </c>
      <c r="B39" s="19" t="e">
        <f>VLOOKUP(A39,#REF!,2,FALSE)</f>
        <v>#REF!</v>
      </c>
      <c r="C39" s="20" t="e">
        <f>VLOOKUP(B39,#REF!,2,FALSE)</f>
        <v>#REF!</v>
      </c>
      <c r="D39" s="66" t="e">
        <f>SUMIF(#REF!,XXXXFinRep!B39,#REF!)</f>
        <v>#REF!</v>
      </c>
      <c r="E39" s="75" t="e">
        <f>SUMIF(#REF!,XXXXFinRep!B39,#REF!)+SUMIF(#REF!,XXXXFinRep!B39,#REF!)</f>
        <v>#REF!</v>
      </c>
      <c r="F39" s="75" t="e">
        <f>SUMIF(#REF!,XXXXFinRep!B39,#REF!)+SUMIF(#REF!,XXXXFinRep!B39,#REF!)</f>
        <v>#REF!</v>
      </c>
      <c r="G39" s="75" t="e">
        <f>SUMIF(#REF!,XXXXFinRep!B39,#REF!)+SUMIF(#REF!,XXXXFinRep!B39,#REF!)</f>
        <v>#REF!</v>
      </c>
      <c r="H39" s="76" t="e">
        <f t="shared" si="6"/>
        <v>#REF!</v>
      </c>
      <c r="I39" s="77" t="e">
        <f t="shared" si="7"/>
        <v>#REF!</v>
      </c>
    </row>
    <row r="40" spans="1:9" x14ac:dyDescent="0.25">
      <c r="A40" s="2">
        <v>16</v>
      </c>
      <c r="B40" s="19" t="e">
        <f>VLOOKUP(A40,#REF!,2,FALSE)</f>
        <v>#REF!</v>
      </c>
      <c r="C40" s="20" t="e">
        <f>VLOOKUP(B40,#REF!,2,FALSE)</f>
        <v>#REF!</v>
      </c>
      <c r="D40" s="66" t="e">
        <f>SUMIF(#REF!,XXXXFinRep!B40,#REF!)</f>
        <v>#REF!</v>
      </c>
      <c r="E40" s="75" t="e">
        <f>SUMIF(#REF!,XXXXFinRep!B40,#REF!)+SUMIF(#REF!,XXXXFinRep!B40,#REF!)</f>
        <v>#REF!</v>
      </c>
      <c r="F40" s="75" t="e">
        <f>SUMIF(#REF!,XXXXFinRep!B40,#REF!)+SUMIF(#REF!,XXXXFinRep!B40,#REF!)</f>
        <v>#REF!</v>
      </c>
      <c r="G40" s="75" t="e">
        <f>SUMIF(#REF!,XXXXFinRep!B40,#REF!)+SUMIF(#REF!,XXXXFinRep!B40,#REF!)</f>
        <v>#REF!</v>
      </c>
      <c r="H40" s="76" t="e">
        <f t="shared" si="6"/>
        <v>#REF!</v>
      </c>
      <c r="I40" s="77" t="e">
        <f t="shared" si="7"/>
        <v>#REF!</v>
      </c>
    </row>
    <row r="41" spans="1:9" x14ac:dyDescent="0.25">
      <c r="A41" s="2">
        <v>17</v>
      </c>
      <c r="B41" s="19" t="e">
        <f>VLOOKUP(A41,#REF!,2,FALSE)</f>
        <v>#REF!</v>
      </c>
      <c r="C41" s="20" t="e">
        <f>VLOOKUP(B41,#REF!,2,FALSE)</f>
        <v>#REF!</v>
      </c>
      <c r="D41" s="66" t="e">
        <f>SUMIF(#REF!,XXXXFinRep!B41,#REF!)</f>
        <v>#REF!</v>
      </c>
      <c r="E41" s="75" t="e">
        <f>SUMIF(#REF!,XXXXFinRep!B41,#REF!)+SUMIF(#REF!,XXXXFinRep!B41,#REF!)</f>
        <v>#REF!</v>
      </c>
      <c r="F41" s="75" t="e">
        <f>SUMIF(#REF!,XXXXFinRep!B41,#REF!)+SUMIF(#REF!,XXXXFinRep!B41,#REF!)</f>
        <v>#REF!</v>
      </c>
      <c r="G41" s="75" t="e">
        <f>SUMIF(#REF!,XXXXFinRep!B41,#REF!)+SUMIF(#REF!,XXXXFinRep!B41,#REF!)</f>
        <v>#REF!</v>
      </c>
      <c r="H41" s="76" t="e">
        <f t="shared" si="6"/>
        <v>#REF!</v>
      </c>
      <c r="I41" s="77" t="e">
        <f t="shared" si="7"/>
        <v>#REF!</v>
      </c>
    </row>
    <row r="42" spans="1:9" x14ac:dyDescent="0.25">
      <c r="A42" s="2">
        <v>18</v>
      </c>
      <c r="B42" s="19" t="e">
        <f>VLOOKUP(A42,#REF!,2,FALSE)</f>
        <v>#REF!</v>
      </c>
      <c r="C42" s="20" t="e">
        <f>VLOOKUP(B42,#REF!,2,FALSE)</f>
        <v>#REF!</v>
      </c>
      <c r="D42" s="66" t="e">
        <f>SUMIF(#REF!,XXXXFinRep!B42,#REF!)</f>
        <v>#REF!</v>
      </c>
      <c r="E42" s="75" t="e">
        <f>SUMIF(#REF!,XXXXFinRep!B42,#REF!)+SUMIF(#REF!,XXXXFinRep!B42,#REF!)</f>
        <v>#REF!</v>
      </c>
      <c r="F42" s="75" t="e">
        <f>SUMIF(#REF!,XXXXFinRep!B42,#REF!)+SUMIF(#REF!,XXXXFinRep!B42,#REF!)</f>
        <v>#REF!</v>
      </c>
      <c r="G42" s="75" t="e">
        <f>SUMIF(#REF!,XXXXFinRep!B42,#REF!)+SUMIF(#REF!,XXXXFinRep!B42,#REF!)</f>
        <v>#REF!</v>
      </c>
      <c r="H42" s="76" t="e">
        <f t="shared" si="6"/>
        <v>#REF!</v>
      </c>
      <c r="I42" s="77" t="e">
        <f t="shared" si="7"/>
        <v>#REF!</v>
      </c>
    </row>
    <row r="43" spans="1:9" x14ac:dyDescent="0.25">
      <c r="A43" s="2">
        <v>19</v>
      </c>
      <c r="B43" s="19" t="e">
        <f>VLOOKUP(A43,#REF!,2,FALSE)</f>
        <v>#REF!</v>
      </c>
      <c r="C43" s="20" t="e">
        <f>VLOOKUP(B43,#REF!,2,FALSE)</f>
        <v>#REF!</v>
      </c>
      <c r="D43" s="66" t="e">
        <f>SUMIF(#REF!,XXXXFinRep!B43,#REF!)</f>
        <v>#REF!</v>
      </c>
      <c r="E43" s="75" t="e">
        <f>SUMIF(#REF!,XXXXFinRep!B43,#REF!)+SUMIF(#REF!,XXXXFinRep!B43,#REF!)</f>
        <v>#REF!</v>
      </c>
      <c r="F43" s="75" t="e">
        <f>SUMIF(#REF!,XXXXFinRep!B43,#REF!)+SUMIF(#REF!,XXXXFinRep!B43,#REF!)</f>
        <v>#REF!</v>
      </c>
      <c r="G43" s="75" t="e">
        <f>SUMIF(#REF!,XXXXFinRep!B43,#REF!)+SUMIF(#REF!,XXXXFinRep!B43,#REF!)</f>
        <v>#REF!</v>
      </c>
      <c r="H43" s="76" t="e">
        <f t="shared" si="6"/>
        <v>#REF!</v>
      </c>
      <c r="I43" s="77" t="e">
        <f t="shared" si="7"/>
        <v>#REF!</v>
      </c>
    </row>
    <row r="44" spans="1:9" x14ac:dyDescent="0.25">
      <c r="A44" s="2">
        <v>20</v>
      </c>
      <c r="B44" s="19" t="e">
        <f>VLOOKUP(A44,#REF!,2,FALSE)</f>
        <v>#REF!</v>
      </c>
      <c r="C44" s="20" t="e">
        <f>VLOOKUP(B44,#REF!,2,FALSE)</f>
        <v>#REF!</v>
      </c>
      <c r="D44" s="66" t="e">
        <f>SUMIF(#REF!,XXXXFinRep!B44,#REF!)</f>
        <v>#REF!</v>
      </c>
      <c r="E44" s="75" t="e">
        <f>SUMIF(#REF!,XXXXFinRep!B44,#REF!)+SUMIF(#REF!,XXXXFinRep!B44,#REF!)</f>
        <v>#REF!</v>
      </c>
      <c r="F44" s="75" t="e">
        <f>SUMIF(#REF!,XXXXFinRep!B44,#REF!)+SUMIF(#REF!,XXXXFinRep!B44,#REF!)</f>
        <v>#REF!</v>
      </c>
      <c r="G44" s="75" t="e">
        <f>SUMIF(#REF!,XXXXFinRep!B44,#REF!)+SUMIF(#REF!,XXXXFinRep!B44,#REF!)</f>
        <v>#REF!</v>
      </c>
      <c r="H44" s="76" t="e">
        <f t="shared" si="6"/>
        <v>#REF!</v>
      </c>
      <c r="I44" s="77" t="e">
        <f t="shared" si="7"/>
        <v>#REF!</v>
      </c>
    </row>
    <row r="45" spans="1:9" x14ac:dyDescent="0.25">
      <c r="A45" s="2">
        <v>21</v>
      </c>
      <c r="B45" s="19" t="e">
        <f>VLOOKUP(A45,#REF!,2,FALSE)</f>
        <v>#REF!</v>
      </c>
      <c r="C45" s="20" t="e">
        <f>VLOOKUP(B45,#REF!,2,FALSE)</f>
        <v>#REF!</v>
      </c>
      <c r="D45" s="66" t="e">
        <f>SUMIF(#REF!,XXXXFinRep!B45,#REF!)</f>
        <v>#REF!</v>
      </c>
      <c r="E45" s="75" t="e">
        <f>SUMIF(#REF!,XXXXFinRep!B45,#REF!)+SUMIF(#REF!,XXXXFinRep!B45,#REF!)</f>
        <v>#REF!</v>
      </c>
      <c r="F45" s="75" t="e">
        <f>SUMIF(#REF!,XXXXFinRep!B45,#REF!)+SUMIF(#REF!,XXXXFinRep!B45,#REF!)</f>
        <v>#REF!</v>
      </c>
      <c r="G45" s="75" t="e">
        <f>SUMIF(#REF!,XXXXFinRep!B45,#REF!)+SUMIF(#REF!,XXXXFinRep!B45,#REF!)</f>
        <v>#REF!</v>
      </c>
      <c r="H45" s="76" t="e">
        <f t="shared" si="6"/>
        <v>#REF!</v>
      </c>
      <c r="I45" s="77" t="e">
        <f t="shared" si="7"/>
        <v>#REF!</v>
      </c>
    </row>
    <row r="46" spans="1:9" x14ac:dyDescent="0.25">
      <c r="A46" s="2">
        <v>22</v>
      </c>
      <c r="B46" s="19" t="e">
        <f>VLOOKUP(A46,#REF!,2,FALSE)</f>
        <v>#REF!</v>
      </c>
      <c r="C46" s="20" t="e">
        <f>VLOOKUP(B46,#REF!,2,FALSE)</f>
        <v>#REF!</v>
      </c>
      <c r="D46" s="66" t="e">
        <f>SUMIF(#REF!,XXXXFinRep!B46,#REF!)</f>
        <v>#REF!</v>
      </c>
      <c r="E46" s="75" t="e">
        <f>SUMIF(#REF!,XXXXFinRep!B46,#REF!)+SUMIF(#REF!,XXXXFinRep!B46,#REF!)</f>
        <v>#REF!</v>
      </c>
      <c r="F46" s="75" t="e">
        <f>SUMIF(#REF!,XXXXFinRep!B46,#REF!)+SUMIF(#REF!,XXXXFinRep!B46,#REF!)</f>
        <v>#REF!</v>
      </c>
      <c r="G46" s="75" t="e">
        <f>SUMIF(#REF!,XXXXFinRep!B46,#REF!)+SUMIF(#REF!,XXXXFinRep!B46,#REF!)</f>
        <v>#REF!</v>
      </c>
      <c r="H46" s="76" t="e">
        <f t="shared" si="6"/>
        <v>#REF!</v>
      </c>
      <c r="I46" s="77" t="e">
        <f t="shared" si="7"/>
        <v>#REF!</v>
      </c>
    </row>
    <row r="47" spans="1:9" x14ac:dyDescent="0.25">
      <c r="A47" s="2">
        <v>23</v>
      </c>
      <c r="B47" s="19" t="e">
        <f>VLOOKUP(A47,#REF!,2,FALSE)</f>
        <v>#REF!</v>
      </c>
      <c r="C47" s="20" t="e">
        <f>VLOOKUP(B47,#REF!,2,FALSE)</f>
        <v>#REF!</v>
      </c>
      <c r="D47" s="66" t="e">
        <f>SUMIF(#REF!,XXXXFinRep!B47,#REF!)</f>
        <v>#REF!</v>
      </c>
      <c r="E47" s="75" t="e">
        <f>SUMIF(#REF!,XXXXFinRep!B47,#REF!)+SUMIF(#REF!,XXXXFinRep!B47,#REF!)</f>
        <v>#REF!</v>
      </c>
      <c r="F47" s="75" t="e">
        <f>SUMIF(#REF!,XXXXFinRep!B47,#REF!)+SUMIF(#REF!,XXXXFinRep!B47,#REF!)</f>
        <v>#REF!</v>
      </c>
      <c r="G47" s="75" t="e">
        <f>SUMIF(#REF!,XXXXFinRep!B47,#REF!)+SUMIF(#REF!,XXXXFinRep!B47,#REF!)</f>
        <v>#REF!</v>
      </c>
      <c r="H47" s="76" t="e">
        <f t="shared" si="6"/>
        <v>#REF!</v>
      </c>
      <c r="I47" s="77" t="e">
        <f t="shared" si="7"/>
        <v>#REF!</v>
      </c>
    </row>
    <row r="48" spans="1:9" x14ac:dyDescent="0.25">
      <c r="A48" s="2">
        <v>24</v>
      </c>
      <c r="B48" s="19" t="e">
        <f>VLOOKUP(A48,#REF!,2,FALSE)</f>
        <v>#REF!</v>
      </c>
      <c r="C48" s="20" t="e">
        <f>VLOOKUP(B48,#REF!,2,FALSE)</f>
        <v>#REF!</v>
      </c>
      <c r="D48" s="66" t="e">
        <f>SUMIF(#REF!,XXXXFinRep!B48,#REF!)</f>
        <v>#REF!</v>
      </c>
      <c r="E48" s="75" t="e">
        <f>SUMIF(#REF!,XXXXFinRep!B48,#REF!)+SUMIF(#REF!,XXXXFinRep!B48,#REF!)</f>
        <v>#REF!</v>
      </c>
      <c r="F48" s="75" t="e">
        <f>SUMIF(#REF!,XXXXFinRep!B48,#REF!)+SUMIF(#REF!,XXXXFinRep!B48,#REF!)</f>
        <v>#REF!</v>
      </c>
      <c r="G48" s="75" t="e">
        <f>SUMIF(#REF!,XXXXFinRep!B48,#REF!)+SUMIF(#REF!,XXXXFinRep!B48,#REF!)</f>
        <v>#REF!</v>
      </c>
      <c r="H48" s="76" t="e">
        <f t="shared" si="6"/>
        <v>#REF!</v>
      </c>
      <c r="I48" s="77" t="e">
        <f t="shared" si="7"/>
        <v>#REF!</v>
      </c>
    </row>
    <row r="49" spans="1:9" x14ac:dyDescent="0.25">
      <c r="A49" s="2">
        <v>25</v>
      </c>
      <c r="B49" s="19" t="e">
        <f>VLOOKUP(A49,#REF!,2,FALSE)</f>
        <v>#REF!</v>
      </c>
      <c r="C49" s="20" t="e">
        <f>VLOOKUP(B49,#REF!,2,FALSE)</f>
        <v>#REF!</v>
      </c>
      <c r="D49" s="66" t="e">
        <f>SUMIF(#REF!,XXXXFinRep!B49,#REF!)</f>
        <v>#REF!</v>
      </c>
      <c r="E49" s="75" t="e">
        <f>SUMIF(#REF!,XXXXFinRep!B49,#REF!)+SUMIF(#REF!,XXXXFinRep!B49,#REF!)</f>
        <v>#REF!</v>
      </c>
      <c r="F49" s="75" t="e">
        <f>SUMIF(#REF!,XXXXFinRep!B49,#REF!)+SUMIF(#REF!,XXXXFinRep!B49,#REF!)</f>
        <v>#REF!</v>
      </c>
      <c r="G49" s="75" t="e">
        <f>SUMIF(#REF!,XXXXFinRep!B49,#REF!)+SUMIF(#REF!,XXXXFinRep!B49,#REF!)</f>
        <v>#REF!</v>
      </c>
      <c r="H49" s="76" t="e">
        <f t="shared" si="6"/>
        <v>#REF!</v>
      </c>
      <c r="I49" s="77" t="e">
        <f t="shared" si="7"/>
        <v>#REF!</v>
      </c>
    </row>
    <row r="50" spans="1:9" x14ac:dyDescent="0.25">
      <c r="A50" s="2">
        <v>26</v>
      </c>
      <c r="B50" s="19" t="e">
        <f>VLOOKUP(A50,#REF!,2,FALSE)</f>
        <v>#REF!</v>
      </c>
      <c r="C50" s="20" t="e">
        <f>VLOOKUP(B50,#REF!,2,FALSE)</f>
        <v>#REF!</v>
      </c>
      <c r="D50" s="66" t="e">
        <f>SUMIF(#REF!,XXXXFinRep!B50,#REF!)</f>
        <v>#REF!</v>
      </c>
      <c r="E50" s="75" t="e">
        <f>SUMIF(#REF!,XXXXFinRep!B50,#REF!)+SUMIF(#REF!,XXXXFinRep!B50,#REF!)</f>
        <v>#REF!</v>
      </c>
      <c r="F50" s="75" t="e">
        <f>SUMIF(#REF!,XXXXFinRep!B50,#REF!)+SUMIF(#REF!,XXXXFinRep!B50,#REF!)</f>
        <v>#REF!</v>
      </c>
      <c r="G50" s="75" t="e">
        <f>SUMIF(#REF!,XXXXFinRep!B50,#REF!)+SUMIF(#REF!,XXXXFinRep!B50,#REF!)</f>
        <v>#REF!</v>
      </c>
      <c r="H50" s="76" t="e">
        <f t="shared" si="6"/>
        <v>#REF!</v>
      </c>
      <c r="I50" s="77" t="e">
        <f t="shared" si="7"/>
        <v>#REF!</v>
      </c>
    </row>
    <row r="51" spans="1:9" x14ac:dyDescent="0.25">
      <c r="A51" s="2">
        <v>27</v>
      </c>
      <c r="B51" s="19" t="e">
        <f>VLOOKUP(A51,#REF!,2,FALSE)</f>
        <v>#REF!</v>
      </c>
      <c r="C51" s="20" t="e">
        <f>VLOOKUP(B51,#REF!,2,FALSE)</f>
        <v>#REF!</v>
      </c>
      <c r="D51" s="66" t="e">
        <f>SUMIF(#REF!,XXXXFinRep!B51,#REF!)</f>
        <v>#REF!</v>
      </c>
      <c r="E51" s="75" t="e">
        <f>SUMIF(#REF!,XXXXFinRep!B51,#REF!)+SUMIF(#REF!,XXXXFinRep!B51,#REF!)</f>
        <v>#REF!</v>
      </c>
      <c r="F51" s="75" t="e">
        <f>SUMIF(#REF!,XXXXFinRep!B51,#REF!)+SUMIF(#REF!,XXXXFinRep!B51,#REF!)</f>
        <v>#REF!</v>
      </c>
      <c r="G51" s="75" t="e">
        <f>SUMIF(#REF!,XXXXFinRep!B51,#REF!)+SUMIF(#REF!,XXXXFinRep!B51,#REF!)</f>
        <v>#REF!</v>
      </c>
      <c r="H51" s="76" t="e">
        <f t="shared" si="6"/>
        <v>#REF!</v>
      </c>
      <c r="I51" s="77" t="e">
        <f t="shared" si="7"/>
        <v>#REF!</v>
      </c>
    </row>
    <row r="52" spans="1:9" x14ac:dyDescent="0.25">
      <c r="A52" s="2">
        <v>28</v>
      </c>
      <c r="B52" s="19" t="e">
        <f>VLOOKUP(A52,#REF!,2,FALSE)</f>
        <v>#REF!</v>
      </c>
      <c r="C52" s="20" t="e">
        <f>VLOOKUP(B52,#REF!,2,FALSE)</f>
        <v>#REF!</v>
      </c>
      <c r="D52" s="66" t="e">
        <f>SUMIF(#REF!,XXXXFinRep!B52,#REF!)</f>
        <v>#REF!</v>
      </c>
      <c r="E52" s="75" t="e">
        <f>SUMIF(#REF!,XXXXFinRep!B52,#REF!)+SUMIF(#REF!,XXXXFinRep!B52,#REF!)</f>
        <v>#REF!</v>
      </c>
      <c r="F52" s="75" t="e">
        <f>SUMIF(#REF!,XXXXFinRep!B52,#REF!)+SUMIF(#REF!,XXXXFinRep!B52,#REF!)</f>
        <v>#REF!</v>
      </c>
      <c r="G52" s="75" t="e">
        <f>SUMIF(#REF!,XXXXFinRep!B52,#REF!)+SUMIF(#REF!,XXXXFinRep!B52,#REF!)</f>
        <v>#REF!</v>
      </c>
      <c r="H52" s="76" t="e">
        <f t="shared" si="6"/>
        <v>#REF!</v>
      </c>
      <c r="I52" s="77" t="e">
        <f t="shared" si="7"/>
        <v>#REF!</v>
      </c>
    </row>
    <row r="53" spans="1:9" x14ac:dyDescent="0.25">
      <c r="A53" s="2">
        <v>29</v>
      </c>
      <c r="B53" s="19" t="e">
        <f>VLOOKUP(A53,#REF!,2,FALSE)</f>
        <v>#REF!</v>
      </c>
      <c r="C53" s="20" t="e">
        <f>VLOOKUP(B53,#REF!,2,FALSE)</f>
        <v>#REF!</v>
      </c>
      <c r="D53" s="66" t="e">
        <f>SUMIF(#REF!,XXXXFinRep!B53,#REF!)</f>
        <v>#REF!</v>
      </c>
      <c r="E53" s="75" t="e">
        <f>SUMIF(#REF!,XXXXFinRep!B53,#REF!)+SUMIF(#REF!,XXXXFinRep!B53,#REF!)</f>
        <v>#REF!</v>
      </c>
      <c r="F53" s="75" t="e">
        <f>SUMIF(#REF!,XXXXFinRep!B53,#REF!)+SUMIF(#REF!,XXXXFinRep!B53,#REF!)</f>
        <v>#REF!</v>
      </c>
      <c r="G53" s="75" t="e">
        <f>SUMIF(#REF!,XXXXFinRep!B53,#REF!)+SUMIF(#REF!,XXXXFinRep!B53,#REF!)</f>
        <v>#REF!</v>
      </c>
      <c r="H53" s="76" t="e">
        <f t="shared" si="6"/>
        <v>#REF!</v>
      </c>
      <c r="I53" s="77" t="e">
        <f t="shared" si="7"/>
        <v>#REF!</v>
      </c>
    </row>
    <row r="54" spans="1:9" x14ac:dyDescent="0.25">
      <c r="A54" s="2">
        <v>30</v>
      </c>
      <c r="B54" s="19" t="e">
        <f>VLOOKUP(A54,#REF!,2,FALSE)</f>
        <v>#REF!</v>
      </c>
      <c r="C54" s="20" t="e">
        <f>VLOOKUP(B54,#REF!,2,FALSE)</f>
        <v>#REF!</v>
      </c>
      <c r="D54" s="66" t="e">
        <f>SUMIF(#REF!,XXXXFinRep!B54,#REF!)</f>
        <v>#REF!</v>
      </c>
      <c r="E54" s="75" t="e">
        <f>SUMIF(#REF!,XXXXFinRep!B54,#REF!)+SUMIF(#REF!,XXXXFinRep!B54,#REF!)</f>
        <v>#REF!</v>
      </c>
      <c r="F54" s="75" t="e">
        <f>SUMIF(#REF!,XXXXFinRep!B54,#REF!)+SUMIF(#REF!,XXXXFinRep!B54,#REF!)</f>
        <v>#REF!</v>
      </c>
      <c r="G54" s="75" t="e">
        <f>SUMIF(#REF!,XXXXFinRep!B54,#REF!)+SUMIF(#REF!,XXXXFinRep!B54,#REF!)</f>
        <v>#REF!</v>
      </c>
      <c r="H54" s="76" t="e">
        <f t="shared" si="6"/>
        <v>#REF!</v>
      </c>
      <c r="I54" s="77" t="e">
        <f t="shared" si="7"/>
        <v>#REF!</v>
      </c>
    </row>
    <row r="55" spans="1:9" x14ac:dyDescent="0.25">
      <c r="B55" s="26" t="s">
        <v>135</v>
      </c>
      <c r="C55" s="28" t="s">
        <v>57</v>
      </c>
      <c r="D55" s="78" t="e">
        <f>SUM(D35:D54)</f>
        <v>#REF!</v>
      </c>
      <c r="E55" s="78" t="e">
        <f t="shared" ref="E55:I55" si="8">SUM(E35:E54)</f>
        <v>#REF!</v>
      </c>
      <c r="F55" s="78" t="e">
        <f t="shared" si="8"/>
        <v>#REF!</v>
      </c>
      <c r="G55" s="78" t="e">
        <f t="shared" si="8"/>
        <v>#REF!</v>
      </c>
      <c r="H55" s="78" t="e">
        <f t="shared" si="8"/>
        <v>#REF!</v>
      </c>
      <c r="I55" s="78" t="e">
        <f t="shared" si="8"/>
        <v>#REF!</v>
      </c>
    </row>
    <row r="56" spans="1:9" x14ac:dyDescent="0.25">
      <c r="B56" s="19"/>
      <c r="D56" s="66"/>
      <c r="E56" s="67"/>
      <c r="F56" s="67"/>
      <c r="G56" s="67"/>
      <c r="H56" s="68"/>
      <c r="I56" s="69"/>
    </row>
    <row r="57" spans="1:9" x14ac:dyDescent="0.25">
      <c r="B57" s="26">
        <v>2</v>
      </c>
      <c r="C57" s="27" t="e">
        <f>VLOOKUP(B57,#REF!,2,FALSE)</f>
        <v>#REF!</v>
      </c>
      <c r="D57" s="66"/>
      <c r="E57" s="67"/>
      <c r="F57" s="67"/>
      <c r="G57" s="67"/>
      <c r="H57" s="68"/>
      <c r="I57" s="69"/>
    </row>
    <row r="58" spans="1:9" x14ac:dyDescent="0.25">
      <c r="A58" s="2">
        <v>31</v>
      </c>
      <c r="B58" s="19" t="e">
        <f>VLOOKUP(A58,#REF!,2,FALSE)</f>
        <v>#REF!</v>
      </c>
      <c r="C58" s="20" t="e">
        <f>VLOOKUP(B58,#REF!,2,FALSE)</f>
        <v>#REF!</v>
      </c>
      <c r="D58" s="66" t="e">
        <f>SUMIF(#REF!,XXXXFinRep!B58,#REF!)</f>
        <v>#REF!</v>
      </c>
      <c r="E58" s="67" t="e">
        <f>SUMIF(#REF!,XXXXFinRep!B58,#REF!)+SUMIF(#REF!,XXXXFinRep!B58,#REF!)</f>
        <v>#REF!</v>
      </c>
      <c r="F58" s="67" t="e">
        <f>SUMIF(#REF!,XXXXFinRep!B58,#REF!)+SUMIF(#REF!,XXXXFinRep!B58,#REF!)</f>
        <v>#REF!</v>
      </c>
      <c r="G58" s="67" t="e">
        <f>SUMIF(#REF!,XXXXFinRep!B58,#REF!)+SUMIF(#REF!,XXXXFinRep!B58,#REF!)</f>
        <v>#REF!</v>
      </c>
      <c r="H58" s="68" t="e">
        <f t="shared" ref="H58:H77" si="9">SUM(E58,F58,G58)</f>
        <v>#REF!</v>
      </c>
      <c r="I58" s="69" t="e">
        <f t="shared" ref="I58:I77" si="10">SUM(D58-H58)</f>
        <v>#REF!</v>
      </c>
    </row>
    <row r="59" spans="1:9" x14ac:dyDescent="0.25">
      <c r="A59" s="2">
        <v>32</v>
      </c>
      <c r="B59" s="19" t="e">
        <f>VLOOKUP(A59,#REF!,2,FALSE)</f>
        <v>#REF!</v>
      </c>
      <c r="C59" s="20" t="e">
        <f>VLOOKUP(B59,#REF!,2,FALSE)</f>
        <v>#REF!</v>
      </c>
      <c r="D59" s="66" t="e">
        <f>SUMIF(#REF!,XXXXFinRep!B59,#REF!)</f>
        <v>#REF!</v>
      </c>
      <c r="E59" s="67" t="e">
        <f>SUMIF(#REF!,XXXXFinRep!B59,#REF!)+SUMIF(#REF!,XXXXFinRep!B59,#REF!)</f>
        <v>#REF!</v>
      </c>
      <c r="F59" s="67" t="e">
        <f>SUMIF(#REF!,XXXXFinRep!B59,#REF!)+SUMIF(#REF!,XXXXFinRep!B59,#REF!)</f>
        <v>#REF!</v>
      </c>
      <c r="G59" s="67" t="e">
        <f>SUMIF(#REF!,XXXXFinRep!B59,#REF!)+SUMIF(#REF!,XXXXFinRep!B59,#REF!)</f>
        <v>#REF!</v>
      </c>
      <c r="H59" s="68" t="e">
        <f t="shared" si="9"/>
        <v>#REF!</v>
      </c>
      <c r="I59" s="69" t="e">
        <f t="shared" si="10"/>
        <v>#REF!</v>
      </c>
    </row>
    <row r="60" spans="1:9" x14ac:dyDescent="0.25">
      <c r="A60" s="2">
        <v>33</v>
      </c>
      <c r="B60" s="19" t="e">
        <f>VLOOKUP(A60,#REF!,2,FALSE)</f>
        <v>#REF!</v>
      </c>
      <c r="C60" s="20" t="e">
        <f>VLOOKUP(B60,#REF!,2,FALSE)</f>
        <v>#REF!</v>
      </c>
      <c r="D60" s="66" t="e">
        <f>SUMIF(#REF!,XXXXFinRep!B60,#REF!)</f>
        <v>#REF!</v>
      </c>
      <c r="E60" s="75" t="e">
        <f>SUMIF(#REF!,XXXXFinRep!B60,#REF!)+SUMIF(#REF!,XXXXFinRep!B60,#REF!)</f>
        <v>#REF!</v>
      </c>
      <c r="F60" s="75" t="e">
        <f>SUMIF(#REF!,XXXXFinRep!B60,#REF!)+SUMIF(#REF!,XXXXFinRep!B60,#REF!)</f>
        <v>#REF!</v>
      </c>
      <c r="G60" s="75" t="e">
        <f>SUMIF(#REF!,XXXXFinRep!B60,#REF!)+SUMIF(#REF!,XXXXFinRep!B60,#REF!)</f>
        <v>#REF!</v>
      </c>
      <c r="H60" s="76" t="e">
        <f t="shared" si="9"/>
        <v>#REF!</v>
      </c>
      <c r="I60" s="77" t="e">
        <f t="shared" si="10"/>
        <v>#REF!</v>
      </c>
    </row>
    <row r="61" spans="1:9" x14ac:dyDescent="0.25">
      <c r="A61" s="2">
        <v>34</v>
      </c>
      <c r="B61" s="19" t="e">
        <f>VLOOKUP(A61,#REF!,2,FALSE)</f>
        <v>#REF!</v>
      </c>
      <c r="C61" s="20" t="e">
        <f>VLOOKUP(B61,#REF!,2,FALSE)</f>
        <v>#REF!</v>
      </c>
      <c r="D61" s="66" t="e">
        <f>SUMIF(#REF!,XXXXFinRep!B61,#REF!)</f>
        <v>#REF!</v>
      </c>
      <c r="E61" s="75" t="e">
        <f>SUMIF(#REF!,XXXXFinRep!B61,#REF!)+SUMIF(#REF!,XXXXFinRep!B61,#REF!)</f>
        <v>#REF!</v>
      </c>
      <c r="F61" s="75" t="e">
        <f>SUMIF(#REF!,XXXXFinRep!B61,#REF!)+SUMIF(#REF!,XXXXFinRep!B61,#REF!)</f>
        <v>#REF!</v>
      </c>
      <c r="G61" s="75" t="e">
        <f>SUMIF(#REF!,XXXXFinRep!B61,#REF!)+SUMIF(#REF!,XXXXFinRep!B61,#REF!)</f>
        <v>#REF!</v>
      </c>
      <c r="H61" s="76" t="e">
        <f t="shared" si="9"/>
        <v>#REF!</v>
      </c>
      <c r="I61" s="77" t="e">
        <f t="shared" si="10"/>
        <v>#REF!</v>
      </c>
    </row>
    <row r="62" spans="1:9" x14ac:dyDescent="0.25">
      <c r="A62" s="2">
        <v>35</v>
      </c>
      <c r="B62" s="19" t="e">
        <f>VLOOKUP(A62,#REF!,2,FALSE)</f>
        <v>#REF!</v>
      </c>
      <c r="C62" s="20" t="e">
        <f>VLOOKUP(B62,#REF!,2,FALSE)</f>
        <v>#REF!</v>
      </c>
      <c r="D62" s="66" t="e">
        <f>SUMIF(#REF!,XXXXFinRep!B62,#REF!)</f>
        <v>#REF!</v>
      </c>
      <c r="E62" s="75" t="e">
        <f>SUMIF(#REF!,XXXXFinRep!B62,#REF!)+SUMIF(#REF!,XXXXFinRep!B62,#REF!)</f>
        <v>#REF!</v>
      </c>
      <c r="F62" s="75" t="e">
        <f>SUMIF(#REF!,XXXXFinRep!B62,#REF!)+SUMIF(#REF!,XXXXFinRep!B62,#REF!)</f>
        <v>#REF!</v>
      </c>
      <c r="G62" s="75" t="e">
        <f>SUMIF(#REF!,XXXXFinRep!B62,#REF!)+SUMIF(#REF!,XXXXFinRep!B62,#REF!)</f>
        <v>#REF!</v>
      </c>
      <c r="H62" s="76" t="e">
        <f t="shared" si="9"/>
        <v>#REF!</v>
      </c>
      <c r="I62" s="77" t="e">
        <f t="shared" si="10"/>
        <v>#REF!</v>
      </c>
    </row>
    <row r="63" spans="1:9" x14ac:dyDescent="0.25">
      <c r="A63" s="2">
        <v>36</v>
      </c>
      <c r="B63" s="19" t="e">
        <f>VLOOKUP(A63,#REF!,2,FALSE)</f>
        <v>#REF!</v>
      </c>
      <c r="C63" s="20" t="e">
        <f>VLOOKUP(B63,#REF!,2,FALSE)</f>
        <v>#REF!</v>
      </c>
      <c r="D63" s="66" t="e">
        <f>SUMIF(#REF!,XXXXFinRep!B63,#REF!)</f>
        <v>#REF!</v>
      </c>
      <c r="E63" s="75" t="e">
        <f>SUMIF(#REF!,XXXXFinRep!B63,#REF!)+SUMIF(#REF!,XXXXFinRep!B63,#REF!)</f>
        <v>#REF!</v>
      </c>
      <c r="F63" s="75" t="e">
        <f>SUMIF(#REF!,XXXXFinRep!B63,#REF!)+SUMIF(#REF!,XXXXFinRep!B63,#REF!)</f>
        <v>#REF!</v>
      </c>
      <c r="G63" s="75" t="e">
        <f>SUMIF(#REF!,XXXXFinRep!B63,#REF!)+SUMIF(#REF!,XXXXFinRep!B63,#REF!)</f>
        <v>#REF!</v>
      </c>
      <c r="H63" s="76" t="e">
        <f t="shared" si="9"/>
        <v>#REF!</v>
      </c>
      <c r="I63" s="77" t="e">
        <f t="shared" si="10"/>
        <v>#REF!</v>
      </c>
    </row>
    <row r="64" spans="1:9" x14ac:dyDescent="0.25">
      <c r="A64" s="2">
        <v>37</v>
      </c>
      <c r="B64" s="19" t="e">
        <f>VLOOKUP(A64,#REF!,2,FALSE)</f>
        <v>#REF!</v>
      </c>
      <c r="C64" s="20" t="e">
        <f>VLOOKUP(B64,#REF!,2,FALSE)</f>
        <v>#REF!</v>
      </c>
      <c r="D64" s="66" t="e">
        <f>SUMIF(#REF!,XXXXFinRep!B64,#REF!)</f>
        <v>#REF!</v>
      </c>
      <c r="E64" s="75" t="e">
        <f>SUMIF(#REF!,XXXXFinRep!B64,#REF!)+SUMIF(#REF!,XXXXFinRep!B64,#REF!)</f>
        <v>#REF!</v>
      </c>
      <c r="F64" s="75" t="e">
        <f>SUMIF(#REF!,XXXXFinRep!B64,#REF!)+SUMIF(#REF!,XXXXFinRep!B64,#REF!)</f>
        <v>#REF!</v>
      </c>
      <c r="G64" s="75" t="e">
        <f>SUMIF(#REF!,XXXXFinRep!B64,#REF!)+SUMIF(#REF!,XXXXFinRep!B64,#REF!)</f>
        <v>#REF!</v>
      </c>
      <c r="H64" s="76" t="e">
        <f t="shared" si="9"/>
        <v>#REF!</v>
      </c>
      <c r="I64" s="77" t="e">
        <f t="shared" si="10"/>
        <v>#REF!</v>
      </c>
    </row>
    <row r="65" spans="1:9" x14ac:dyDescent="0.25">
      <c r="A65" s="2">
        <v>38</v>
      </c>
      <c r="B65" s="19" t="e">
        <f>VLOOKUP(A65,#REF!,2,FALSE)</f>
        <v>#REF!</v>
      </c>
      <c r="C65" s="20" t="e">
        <f>VLOOKUP(B65,#REF!,2,FALSE)</f>
        <v>#REF!</v>
      </c>
      <c r="D65" s="66" t="e">
        <f>SUMIF(#REF!,XXXXFinRep!B65,#REF!)</f>
        <v>#REF!</v>
      </c>
      <c r="E65" s="75" t="e">
        <f>SUMIF(#REF!,XXXXFinRep!B65,#REF!)+SUMIF(#REF!,XXXXFinRep!B65,#REF!)</f>
        <v>#REF!</v>
      </c>
      <c r="F65" s="75" t="e">
        <f>SUMIF(#REF!,XXXXFinRep!B65,#REF!)+SUMIF(#REF!,XXXXFinRep!B65,#REF!)</f>
        <v>#REF!</v>
      </c>
      <c r="G65" s="75" t="e">
        <f>SUMIF(#REF!,XXXXFinRep!B65,#REF!)+SUMIF(#REF!,XXXXFinRep!B65,#REF!)</f>
        <v>#REF!</v>
      </c>
      <c r="H65" s="76" t="e">
        <f t="shared" si="9"/>
        <v>#REF!</v>
      </c>
      <c r="I65" s="77" t="e">
        <f t="shared" si="10"/>
        <v>#REF!</v>
      </c>
    </row>
    <row r="66" spans="1:9" x14ac:dyDescent="0.25">
      <c r="A66" s="2">
        <v>39</v>
      </c>
      <c r="B66" s="19" t="e">
        <f>VLOOKUP(A66,#REF!,2,FALSE)</f>
        <v>#REF!</v>
      </c>
      <c r="C66" s="20" t="e">
        <f>VLOOKUP(B66,#REF!,2,FALSE)</f>
        <v>#REF!</v>
      </c>
      <c r="D66" s="66" t="e">
        <f>SUMIF(#REF!,XXXXFinRep!B66,#REF!)</f>
        <v>#REF!</v>
      </c>
      <c r="E66" s="75" t="e">
        <f>SUMIF(#REF!,XXXXFinRep!B66,#REF!)+SUMIF(#REF!,XXXXFinRep!B66,#REF!)</f>
        <v>#REF!</v>
      </c>
      <c r="F66" s="75" t="e">
        <f>SUMIF(#REF!,XXXXFinRep!B66,#REF!)+SUMIF(#REF!,XXXXFinRep!B66,#REF!)</f>
        <v>#REF!</v>
      </c>
      <c r="G66" s="75" t="e">
        <f>SUMIF(#REF!,XXXXFinRep!B66,#REF!)+SUMIF(#REF!,XXXXFinRep!B66,#REF!)</f>
        <v>#REF!</v>
      </c>
      <c r="H66" s="76" t="e">
        <f t="shared" si="9"/>
        <v>#REF!</v>
      </c>
      <c r="I66" s="77" t="e">
        <f t="shared" si="10"/>
        <v>#REF!</v>
      </c>
    </row>
    <row r="67" spans="1:9" x14ac:dyDescent="0.25">
      <c r="A67" s="2">
        <v>40</v>
      </c>
      <c r="B67" s="19" t="e">
        <f>VLOOKUP(A67,#REF!,2,FALSE)</f>
        <v>#REF!</v>
      </c>
      <c r="C67" s="20" t="e">
        <f>VLOOKUP(B67,#REF!,2,FALSE)</f>
        <v>#REF!</v>
      </c>
      <c r="D67" s="66" t="e">
        <f>SUMIF(#REF!,XXXXFinRep!B67,#REF!)</f>
        <v>#REF!</v>
      </c>
      <c r="E67" s="75" t="e">
        <f>SUMIF(#REF!,XXXXFinRep!B67,#REF!)+SUMIF(#REF!,XXXXFinRep!B67,#REF!)</f>
        <v>#REF!</v>
      </c>
      <c r="F67" s="75" t="e">
        <f>SUMIF(#REF!,XXXXFinRep!B67,#REF!)+SUMIF(#REF!,XXXXFinRep!B67,#REF!)</f>
        <v>#REF!</v>
      </c>
      <c r="G67" s="75" t="e">
        <f>SUMIF(#REF!,XXXXFinRep!B67,#REF!)+SUMIF(#REF!,XXXXFinRep!B67,#REF!)</f>
        <v>#REF!</v>
      </c>
      <c r="H67" s="76" t="e">
        <f t="shared" si="9"/>
        <v>#REF!</v>
      </c>
      <c r="I67" s="77" t="e">
        <f t="shared" si="10"/>
        <v>#REF!</v>
      </c>
    </row>
    <row r="68" spans="1:9" x14ac:dyDescent="0.25">
      <c r="A68" s="2">
        <v>41</v>
      </c>
      <c r="B68" s="19" t="e">
        <f>VLOOKUP(A68,#REF!,2,FALSE)</f>
        <v>#REF!</v>
      </c>
      <c r="C68" s="20" t="e">
        <f>VLOOKUP(B68,#REF!,2,FALSE)</f>
        <v>#REF!</v>
      </c>
      <c r="D68" s="66" t="e">
        <f>SUMIF(#REF!,XXXXFinRep!B68,#REF!)</f>
        <v>#REF!</v>
      </c>
      <c r="E68" s="75" t="e">
        <f>SUMIF(#REF!,XXXXFinRep!B68,#REF!)+SUMIF(#REF!,XXXXFinRep!B68,#REF!)</f>
        <v>#REF!</v>
      </c>
      <c r="F68" s="75" t="e">
        <f>SUMIF(#REF!,XXXXFinRep!B68,#REF!)+SUMIF(#REF!,XXXXFinRep!B68,#REF!)</f>
        <v>#REF!</v>
      </c>
      <c r="G68" s="75" t="e">
        <f>SUMIF(#REF!,XXXXFinRep!B68,#REF!)+SUMIF(#REF!,XXXXFinRep!B68,#REF!)</f>
        <v>#REF!</v>
      </c>
      <c r="H68" s="76" t="e">
        <f t="shared" si="9"/>
        <v>#REF!</v>
      </c>
      <c r="I68" s="77" t="e">
        <f t="shared" si="10"/>
        <v>#REF!</v>
      </c>
    </row>
    <row r="69" spans="1:9" x14ac:dyDescent="0.25">
      <c r="A69" s="2">
        <v>42</v>
      </c>
      <c r="B69" s="19" t="e">
        <f>VLOOKUP(A69,#REF!,2,FALSE)</f>
        <v>#REF!</v>
      </c>
      <c r="C69" s="20" t="e">
        <f>VLOOKUP(B69,#REF!,2,FALSE)</f>
        <v>#REF!</v>
      </c>
      <c r="D69" s="66" t="e">
        <f>SUMIF(#REF!,XXXXFinRep!B69,#REF!)</f>
        <v>#REF!</v>
      </c>
      <c r="E69" s="75" t="e">
        <f>SUMIF(#REF!,XXXXFinRep!B69,#REF!)+SUMIF(#REF!,XXXXFinRep!B69,#REF!)</f>
        <v>#REF!</v>
      </c>
      <c r="F69" s="75" t="e">
        <f>SUMIF(#REF!,XXXXFinRep!B69,#REF!)+SUMIF(#REF!,XXXXFinRep!B69,#REF!)</f>
        <v>#REF!</v>
      </c>
      <c r="G69" s="75" t="e">
        <f>SUMIF(#REF!,XXXXFinRep!B69,#REF!)+SUMIF(#REF!,XXXXFinRep!B69,#REF!)</f>
        <v>#REF!</v>
      </c>
      <c r="H69" s="76" t="e">
        <f t="shared" si="9"/>
        <v>#REF!</v>
      </c>
      <c r="I69" s="77" t="e">
        <f t="shared" si="10"/>
        <v>#REF!</v>
      </c>
    </row>
    <row r="70" spans="1:9" x14ac:dyDescent="0.25">
      <c r="A70" s="2">
        <v>43</v>
      </c>
      <c r="B70" s="19" t="e">
        <f>VLOOKUP(A70,#REF!,2,FALSE)</f>
        <v>#REF!</v>
      </c>
      <c r="C70" s="20" t="e">
        <f>VLOOKUP(B70,#REF!,2,FALSE)</f>
        <v>#REF!</v>
      </c>
      <c r="D70" s="66" t="e">
        <f>SUMIF(#REF!,XXXXFinRep!B70,#REF!)</f>
        <v>#REF!</v>
      </c>
      <c r="E70" s="75" t="e">
        <f>SUMIF(#REF!,XXXXFinRep!B70,#REF!)+SUMIF(#REF!,XXXXFinRep!B70,#REF!)</f>
        <v>#REF!</v>
      </c>
      <c r="F70" s="75" t="e">
        <f>SUMIF(#REF!,XXXXFinRep!B70,#REF!)+SUMIF(#REF!,XXXXFinRep!B70,#REF!)</f>
        <v>#REF!</v>
      </c>
      <c r="G70" s="75" t="e">
        <f>SUMIF(#REF!,XXXXFinRep!B70,#REF!)+SUMIF(#REF!,XXXXFinRep!B70,#REF!)</f>
        <v>#REF!</v>
      </c>
      <c r="H70" s="76" t="e">
        <f t="shared" si="9"/>
        <v>#REF!</v>
      </c>
      <c r="I70" s="77" t="e">
        <f t="shared" si="10"/>
        <v>#REF!</v>
      </c>
    </row>
    <row r="71" spans="1:9" x14ac:dyDescent="0.25">
      <c r="A71" s="2">
        <v>44</v>
      </c>
      <c r="B71" s="19" t="e">
        <f>VLOOKUP(A71,#REF!,2,FALSE)</f>
        <v>#REF!</v>
      </c>
      <c r="C71" s="20" t="e">
        <f>VLOOKUP(B71,#REF!,2,FALSE)</f>
        <v>#REF!</v>
      </c>
      <c r="D71" s="66" t="e">
        <f>SUMIF(#REF!,XXXXFinRep!B71,#REF!)</f>
        <v>#REF!</v>
      </c>
      <c r="E71" s="75" t="e">
        <f>SUMIF(#REF!,XXXXFinRep!B71,#REF!)+SUMIF(#REF!,XXXXFinRep!B71,#REF!)</f>
        <v>#REF!</v>
      </c>
      <c r="F71" s="75" t="e">
        <f>SUMIF(#REF!,XXXXFinRep!B71,#REF!)+SUMIF(#REF!,XXXXFinRep!B71,#REF!)</f>
        <v>#REF!</v>
      </c>
      <c r="G71" s="75" t="e">
        <f>SUMIF(#REF!,XXXXFinRep!B71,#REF!)+SUMIF(#REF!,XXXXFinRep!B71,#REF!)</f>
        <v>#REF!</v>
      </c>
      <c r="H71" s="76" t="e">
        <f t="shared" si="9"/>
        <v>#REF!</v>
      </c>
      <c r="I71" s="77" t="e">
        <f t="shared" si="10"/>
        <v>#REF!</v>
      </c>
    </row>
    <row r="72" spans="1:9" x14ac:dyDescent="0.25">
      <c r="A72" s="2">
        <v>45</v>
      </c>
      <c r="B72" s="19" t="e">
        <f>VLOOKUP(A72,#REF!,2,FALSE)</f>
        <v>#REF!</v>
      </c>
      <c r="C72" s="20" t="e">
        <f>VLOOKUP(B72,#REF!,2,FALSE)</f>
        <v>#REF!</v>
      </c>
      <c r="D72" s="66" t="e">
        <f>SUMIF(#REF!,XXXXFinRep!B72,#REF!)</f>
        <v>#REF!</v>
      </c>
      <c r="E72" s="75" t="e">
        <f>SUMIF(#REF!,XXXXFinRep!B72,#REF!)+SUMIF(#REF!,XXXXFinRep!B72,#REF!)</f>
        <v>#REF!</v>
      </c>
      <c r="F72" s="75" t="e">
        <f>SUMIF(#REF!,XXXXFinRep!B72,#REF!)+SUMIF(#REF!,XXXXFinRep!B72,#REF!)</f>
        <v>#REF!</v>
      </c>
      <c r="G72" s="75" t="e">
        <f>SUMIF(#REF!,XXXXFinRep!B72,#REF!)+SUMIF(#REF!,XXXXFinRep!B72,#REF!)</f>
        <v>#REF!</v>
      </c>
      <c r="H72" s="76" t="e">
        <f t="shared" si="9"/>
        <v>#REF!</v>
      </c>
      <c r="I72" s="77" t="e">
        <f t="shared" si="10"/>
        <v>#REF!</v>
      </c>
    </row>
    <row r="73" spans="1:9" x14ac:dyDescent="0.25">
      <c r="A73" s="2">
        <v>46</v>
      </c>
      <c r="B73" s="19" t="e">
        <f>VLOOKUP(A73,#REF!,2,FALSE)</f>
        <v>#REF!</v>
      </c>
      <c r="C73" s="20" t="e">
        <f>VLOOKUP(B73,#REF!,2,FALSE)</f>
        <v>#REF!</v>
      </c>
      <c r="D73" s="66" t="e">
        <f>SUMIF(#REF!,XXXXFinRep!B73,#REF!)</f>
        <v>#REF!</v>
      </c>
      <c r="E73" s="75" t="e">
        <f>SUMIF(#REF!,XXXXFinRep!B73,#REF!)+SUMIF(#REF!,XXXXFinRep!B73,#REF!)</f>
        <v>#REF!</v>
      </c>
      <c r="F73" s="75" t="e">
        <f>SUMIF(#REF!,XXXXFinRep!B73,#REF!)+SUMIF(#REF!,XXXXFinRep!B73,#REF!)</f>
        <v>#REF!</v>
      </c>
      <c r="G73" s="75" t="e">
        <f>SUMIF(#REF!,XXXXFinRep!B73,#REF!)+SUMIF(#REF!,XXXXFinRep!B73,#REF!)</f>
        <v>#REF!</v>
      </c>
      <c r="H73" s="76" t="e">
        <f t="shared" si="9"/>
        <v>#REF!</v>
      </c>
      <c r="I73" s="77" t="e">
        <f t="shared" si="10"/>
        <v>#REF!</v>
      </c>
    </row>
    <row r="74" spans="1:9" x14ac:dyDescent="0.25">
      <c r="A74" s="2">
        <v>47</v>
      </c>
      <c r="B74" s="19" t="e">
        <f>VLOOKUP(A74,#REF!,2,FALSE)</f>
        <v>#REF!</v>
      </c>
      <c r="C74" s="20" t="e">
        <f>VLOOKUP(B74,#REF!,2,FALSE)</f>
        <v>#REF!</v>
      </c>
      <c r="D74" s="66" t="e">
        <f>SUMIF(#REF!,XXXXFinRep!B74,#REF!)</f>
        <v>#REF!</v>
      </c>
      <c r="E74" s="75" t="e">
        <f>SUMIF(#REF!,XXXXFinRep!B74,#REF!)+SUMIF(#REF!,XXXXFinRep!B74,#REF!)</f>
        <v>#REF!</v>
      </c>
      <c r="F74" s="75" t="e">
        <f>SUMIF(#REF!,XXXXFinRep!B74,#REF!)+SUMIF(#REF!,XXXXFinRep!B74,#REF!)</f>
        <v>#REF!</v>
      </c>
      <c r="G74" s="75" t="e">
        <f>SUMIF(#REF!,XXXXFinRep!B74,#REF!)+SUMIF(#REF!,XXXXFinRep!B74,#REF!)</f>
        <v>#REF!</v>
      </c>
      <c r="H74" s="76" t="e">
        <f t="shared" si="9"/>
        <v>#REF!</v>
      </c>
      <c r="I74" s="77" t="e">
        <f t="shared" si="10"/>
        <v>#REF!</v>
      </c>
    </row>
    <row r="75" spans="1:9" x14ac:dyDescent="0.25">
      <c r="A75" s="2">
        <v>48</v>
      </c>
      <c r="B75" s="19" t="e">
        <f>VLOOKUP(A75,#REF!,2,FALSE)</f>
        <v>#REF!</v>
      </c>
      <c r="C75" s="20" t="e">
        <f>VLOOKUP(B75,#REF!,2,FALSE)</f>
        <v>#REF!</v>
      </c>
      <c r="D75" s="66" t="e">
        <f>SUMIF(#REF!,XXXXFinRep!B75,#REF!)</f>
        <v>#REF!</v>
      </c>
      <c r="E75" s="75" t="e">
        <f>SUMIF(#REF!,XXXXFinRep!B75,#REF!)+SUMIF(#REF!,XXXXFinRep!B75,#REF!)</f>
        <v>#REF!</v>
      </c>
      <c r="F75" s="75" t="e">
        <f>SUMIF(#REF!,XXXXFinRep!B75,#REF!)+SUMIF(#REF!,XXXXFinRep!B75,#REF!)</f>
        <v>#REF!</v>
      </c>
      <c r="G75" s="75" t="e">
        <f>SUMIF(#REF!,XXXXFinRep!B75,#REF!)+SUMIF(#REF!,XXXXFinRep!B75,#REF!)</f>
        <v>#REF!</v>
      </c>
      <c r="H75" s="76" t="e">
        <f t="shared" si="9"/>
        <v>#REF!</v>
      </c>
      <c r="I75" s="77" t="e">
        <f t="shared" si="10"/>
        <v>#REF!</v>
      </c>
    </row>
    <row r="76" spans="1:9" x14ac:dyDescent="0.25">
      <c r="A76" s="2">
        <v>49</v>
      </c>
      <c r="B76" s="19" t="e">
        <f>VLOOKUP(A76,#REF!,2,FALSE)</f>
        <v>#REF!</v>
      </c>
      <c r="C76" s="20" t="e">
        <f>VLOOKUP(B76,#REF!,2,FALSE)</f>
        <v>#REF!</v>
      </c>
      <c r="D76" s="66" t="e">
        <f>SUMIF(#REF!,XXXXFinRep!B76,#REF!)</f>
        <v>#REF!</v>
      </c>
      <c r="E76" s="75" t="e">
        <f>SUMIF(#REF!,XXXXFinRep!B76,#REF!)+SUMIF(#REF!,XXXXFinRep!B76,#REF!)</f>
        <v>#REF!</v>
      </c>
      <c r="F76" s="75" t="e">
        <f>SUMIF(#REF!,XXXXFinRep!B76,#REF!)+SUMIF(#REF!,XXXXFinRep!B76,#REF!)</f>
        <v>#REF!</v>
      </c>
      <c r="G76" s="75" t="e">
        <f>SUMIF(#REF!,XXXXFinRep!B76,#REF!)+SUMIF(#REF!,XXXXFinRep!B76,#REF!)</f>
        <v>#REF!</v>
      </c>
      <c r="H76" s="76" t="e">
        <f t="shared" si="9"/>
        <v>#REF!</v>
      </c>
      <c r="I76" s="77" t="e">
        <f t="shared" si="10"/>
        <v>#REF!</v>
      </c>
    </row>
    <row r="77" spans="1:9" x14ac:dyDescent="0.25">
      <c r="A77" s="2">
        <v>50</v>
      </c>
      <c r="B77" s="19" t="e">
        <f>VLOOKUP(A77,#REF!,2,FALSE)</f>
        <v>#REF!</v>
      </c>
      <c r="C77" s="20" t="e">
        <f>VLOOKUP(B77,#REF!,2,FALSE)</f>
        <v>#REF!</v>
      </c>
      <c r="D77" s="66" t="e">
        <f>SUMIF(#REF!,XXXXFinRep!B77,#REF!)</f>
        <v>#REF!</v>
      </c>
      <c r="E77" s="75" t="e">
        <f>SUMIF(#REF!,XXXXFinRep!B77,#REF!)+SUMIF(#REF!,XXXXFinRep!B77,#REF!)</f>
        <v>#REF!</v>
      </c>
      <c r="F77" s="75" t="e">
        <f>SUMIF(#REF!,XXXXFinRep!B77,#REF!)+SUMIF(#REF!,XXXXFinRep!B77,#REF!)</f>
        <v>#REF!</v>
      </c>
      <c r="G77" s="75" t="e">
        <f>SUMIF(#REF!,XXXXFinRep!B77,#REF!)+SUMIF(#REF!,XXXXFinRep!B77,#REF!)</f>
        <v>#REF!</v>
      </c>
      <c r="H77" s="76" t="e">
        <f t="shared" si="9"/>
        <v>#REF!</v>
      </c>
      <c r="I77" s="77" t="e">
        <f t="shared" si="10"/>
        <v>#REF!</v>
      </c>
    </row>
    <row r="78" spans="1:9" x14ac:dyDescent="0.25">
      <c r="B78" s="26" t="s">
        <v>136</v>
      </c>
      <c r="C78" s="28" t="s">
        <v>61</v>
      </c>
      <c r="D78" s="78" t="e">
        <f>SUM(D58:D77)</f>
        <v>#REF!</v>
      </c>
      <c r="E78" s="78" t="e">
        <f t="shared" ref="E78:I78" si="11">SUM(E58:E77)</f>
        <v>#REF!</v>
      </c>
      <c r="F78" s="78" t="e">
        <f t="shared" si="11"/>
        <v>#REF!</v>
      </c>
      <c r="G78" s="78" t="e">
        <f t="shared" si="11"/>
        <v>#REF!</v>
      </c>
      <c r="H78" s="78" t="e">
        <f t="shared" si="11"/>
        <v>#REF!</v>
      </c>
      <c r="I78" s="78" t="e">
        <f t="shared" si="11"/>
        <v>#REF!</v>
      </c>
    </row>
    <row r="79" spans="1:9" x14ac:dyDescent="0.25">
      <c r="B79" s="19"/>
      <c r="D79" s="66"/>
      <c r="E79" s="67"/>
      <c r="F79" s="67"/>
      <c r="G79" s="67"/>
      <c r="H79" s="68"/>
      <c r="I79" s="69"/>
    </row>
    <row r="80" spans="1:9" x14ac:dyDescent="0.25">
      <c r="B80" s="26">
        <v>3</v>
      </c>
      <c r="C80" s="27" t="e">
        <f>VLOOKUP(B80,#REF!,2,FALSE)</f>
        <v>#REF!</v>
      </c>
      <c r="D80" s="66"/>
      <c r="E80" s="67"/>
      <c r="F80" s="67"/>
      <c r="G80" s="67"/>
      <c r="H80" s="68"/>
      <c r="I80" s="69"/>
    </row>
    <row r="81" spans="1:9" x14ac:dyDescent="0.25">
      <c r="A81" s="2">
        <v>51</v>
      </c>
      <c r="B81" s="19" t="e">
        <f>VLOOKUP(A81,#REF!,2,FALSE)</f>
        <v>#REF!</v>
      </c>
      <c r="C81" s="20" t="e">
        <f>VLOOKUP(B81,#REF!,2,FALSE)</f>
        <v>#REF!</v>
      </c>
      <c r="D81" s="66" t="e">
        <f>SUMIF(#REF!,XXXXFinRep!B81,#REF!)</f>
        <v>#REF!</v>
      </c>
      <c r="E81" s="67" t="e">
        <f>SUMIF(#REF!,XXXXFinRep!B81,#REF!)+SUMIF(#REF!,XXXXFinRep!B81,#REF!)</f>
        <v>#REF!</v>
      </c>
      <c r="F81" s="67" t="e">
        <f>SUMIF(#REF!,XXXXFinRep!B81,#REF!)+SUMIF(#REF!,XXXXFinRep!B81,#REF!)</f>
        <v>#REF!</v>
      </c>
      <c r="G81" s="67" t="e">
        <f>SUMIF(#REF!,XXXXFinRep!B81,#REF!)+SUMIF(#REF!,XXXXFinRep!B81,#REF!)</f>
        <v>#REF!</v>
      </c>
      <c r="H81" s="68" t="e">
        <f t="shared" ref="H81:H100" si="12">SUM(E81,F81,G81)</f>
        <v>#REF!</v>
      </c>
      <c r="I81" s="69" t="e">
        <f t="shared" ref="I81:I100" si="13">SUM(D81-H81)</f>
        <v>#REF!</v>
      </c>
    </row>
    <row r="82" spans="1:9" x14ac:dyDescent="0.25">
      <c r="A82" s="2">
        <v>52</v>
      </c>
      <c r="B82" s="19" t="e">
        <f>VLOOKUP(A82,#REF!,2,FALSE)</f>
        <v>#REF!</v>
      </c>
      <c r="C82" s="20" t="e">
        <f>VLOOKUP(B82,#REF!,2,FALSE)</f>
        <v>#REF!</v>
      </c>
      <c r="D82" s="66" t="e">
        <f>SUMIF(#REF!,XXXXFinRep!B82,#REF!)</f>
        <v>#REF!</v>
      </c>
      <c r="E82" s="67" t="e">
        <f>SUMIF(#REF!,XXXXFinRep!B82,#REF!)+SUMIF(#REF!,XXXXFinRep!B82,#REF!)</f>
        <v>#REF!</v>
      </c>
      <c r="F82" s="67" t="e">
        <f>SUMIF(#REF!,XXXXFinRep!B82,#REF!)+SUMIF(#REF!,XXXXFinRep!B82,#REF!)</f>
        <v>#REF!</v>
      </c>
      <c r="G82" s="67" t="e">
        <f>SUMIF(#REF!,XXXXFinRep!B82,#REF!)+SUMIF(#REF!,XXXXFinRep!B82,#REF!)</f>
        <v>#REF!</v>
      </c>
      <c r="H82" s="68" t="e">
        <f t="shared" si="12"/>
        <v>#REF!</v>
      </c>
      <c r="I82" s="69" t="e">
        <f t="shared" si="13"/>
        <v>#REF!</v>
      </c>
    </row>
    <row r="83" spans="1:9" x14ac:dyDescent="0.25">
      <c r="A83" s="2">
        <v>53</v>
      </c>
      <c r="B83" s="19" t="e">
        <f>VLOOKUP(A83,#REF!,2,FALSE)</f>
        <v>#REF!</v>
      </c>
      <c r="C83" s="20" t="e">
        <f>VLOOKUP(B83,#REF!,2,FALSE)</f>
        <v>#REF!</v>
      </c>
      <c r="D83" s="66" t="e">
        <f>SUMIF(#REF!,XXXXFinRep!B83,#REF!)</f>
        <v>#REF!</v>
      </c>
      <c r="E83" s="67" t="e">
        <f>SUMIF(#REF!,XXXXFinRep!B83,#REF!)+SUMIF(#REF!,XXXXFinRep!B83,#REF!)</f>
        <v>#REF!</v>
      </c>
      <c r="F83" s="67" t="e">
        <f>SUMIF(#REF!,XXXXFinRep!B83,#REF!)+SUMIF(#REF!,XXXXFinRep!B83,#REF!)</f>
        <v>#REF!</v>
      </c>
      <c r="G83" s="67" t="e">
        <f>SUMIF(#REF!,XXXXFinRep!B83,#REF!)+SUMIF(#REF!,XXXXFinRep!B83,#REF!)</f>
        <v>#REF!</v>
      </c>
      <c r="H83" s="68" t="e">
        <f t="shared" si="12"/>
        <v>#REF!</v>
      </c>
      <c r="I83" s="69" t="e">
        <f t="shared" si="13"/>
        <v>#REF!</v>
      </c>
    </row>
    <row r="84" spans="1:9" x14ac:dyDescent="0.25">
      <c r="A84" s="2">
        <v>54</v>
      </c>
      <c r="B84" s="19" t="e">
        <f>VLOOKUP(A84,#REF!,2,FALSE)</f>
        <v>#REF!</v>
      </c>
      <c r="C84" s="20" t="e">
        <f>VLOOKUP(B84,#REF!,2,FALSE)</f>
        <v>#REF!</v>
      </c>
      <c r="D84" s="66" t="e">
        <f>SUMIF(#REF!,XXXXFinRep!B84,#REF!)</f>
        <v>#REF!</v>
      </c>
      <c r="E84" s="67" t="e">
        <f>SUMIF(#REF!,XXXXFinRep!B84,#REF!)+SUMIF(#REF!,XXXXFinRep!B84,#REF!)</f>
        <v>#REF!</v>
      </c>
      <c r="F84" s="67" t="e">
        <f>SUMIF(#REF!,XXXXFinRep!B84,#REF!)+SUMIF(#REF!,XXXXFinRep!B84,#REF!)</f>
        <v>#REF!</v>
      </c>
      <c r="G84" s="67" t="e">
        <f>SUMIF(#REF!,XXXXFinRep!B84,#REF!)+SUMIF(#REF!,XXXXFinRep!B84,#REF!)</f>
        <v>#REF!</v>
      </c>
      <c r="H84" s="68" t="e">
        <f t="shared" si="12"/>
        <v>#REF!</v>
      </c>
      <c r="I84" s="69" t="e">
        <f t="shared" si="13"/>
        <v>#REF!</v>
      </c>
    </row>
    <row r="85" spans="1:9" x14ac:dyDescent="0.25">
      <c r="A85" s="2">
        <v>55</v>
      </c>
      <c r="B85" s="19" t="e">
        <f>VLOOKUP(A85,#REF!,2,FALSE)</f>
        <v>#REF!</v>
      </c>
      <c r="C85" s="20" t="e">
        <f>VLOOKUP(B85,#REF!,2,FALSE)</f>
        <v>#REF!</v>
      </c>
      <c r="D85" s="66" t="e">
        <f>SUMIF(#REF!,XXXXFinRep!B85,#REF!)</f>
        <v>#REF!</v>
      </c>
      <c r="E85" s="67" t="e">
        <f>SUMIF(#REF!,XXXXFinRep!B85,#REF!)+SUMIF(#REF!,XXXXFinRep!B85,#REF!)</f>
        <v>#REF!</v>
      </c>
      <c r="F85" s="67" t="e">
        <f>SUMIF(#REF!,XXXXFinRep!B85,#REF!)+SUMIF(#REF!,XXXXFinRep!B85,#REF!)</f>
        <v>#REF!</v>
      </c>
      <c r="G85" s="67" t="e">
        <f>SUMIF(#REF!,XXXXFinRep!B85,#REF!)+SUMIF(#REF!,XXXXFinRep!B85,#REF!)</f>
        <v>#REF!</v>
      </c>
      <c r="H85" s="68" t="e">
        <f t="shared" si="12"/>
        <v>#REF!</v>
      </c>
      <c r="I85" s="69" t="e">
        <f t="shared" si="13"/>
        <v>#REF!</v>
      </c>
    </row>
    <row r="86" spans="1:9" x14ac:dyDescent="0.25">
      <c r="A86" s="2">
        <v>56</v>
      </c>
      <c r="B86" s="19" t="e">
        <f>VLOOKUP(A86,#REF!,2,FALSE)</f>
        <v>#REF!</v>
      </c>
      <c r="C86" s="20" t="e">
        <f>VLOOKUP(B86,#REF!,2,FALSE)</f>
        <v>#REF!</v>
      </c>
      <c r="D86" s="66" t="e">
        <f>SUMIF(#REF!,XXXXFinRep!B86,#REF!)</f>
        <v>#REF!</v>
      </c>
      <c r="E86" s="67" t="e">
        <f>SUMIF(#REF!,XXXXFinRep!B86,#REF!)+SUMIF(#REF!,XXXXFinRep!B86,#REF!)</f>
        <v>#REF!</v>
      </c>
      <c r="F86" s="67" t="e">
        <f>SUMIF(#REF!,XXXXFinRep!B86,#REF!)+SUMIF(#REF!,XXXXFinRep!B86,#REF!)</f>
        <v>#REF!</v>
      </c>
      <c r="G86" s="67" t="e">
        <f>SUMIF(#REF!,XXXXFinRep!B86,#REF!)+SUMIF(#REF!,XXXXFinRep!B86,#REF!)</f>
        <v>#REF!</v>
      </c>
      <c r="H86" s="68" t="e">
        <f t="shared" si="12"/>
        <v>#REF!</v>
      </c>
      <c r="I86" s="69" t="e">
        <f t="shared" si="13"/>
        <v>#REF!</v>
      </c>
    </row>
    <row r="87" spans="1:9" x14ac:dyDescent="0.25">
      <c r="A87" s="2">
        <v>57</v>
      </c>
      <c r="B87" s="19" t="e">
        <f>VLOOKUP(A87,#REF!,2,FALSE)</f>
        <v>#REF!</v>
      </c>
      <c r="C87" s="20" t="e">
        <f>VLOOKUP(B87,#REF!,2,FALSE)</f>
        <v>#REF!</v>
      </c>
      <c r="D87" s="66" t="e">
        <f>SUMIF(#REF!,XXXXFinRep!B87,#REF!)</f>
        <v>#REF!</v>
      </c>
      <c r="E87" s="67" t="e">
        <f>SUMIF(#REF!,XXXXFinRep!B87,#REF!)+SUMIF(#REF!,XXXXFinRep!B87,#REF!)</f>
        <v>#REF!</v>
      </c>
      <c r="F87" s="67" t="e">
        <f>SUMIF(#REF!,XXXXFinRep!B87,#REF!)+SUMIF(#REF!,XXXXFinRep!B87,#REF!)</f>
        <v>#REF!</v>
      </c>
      <c r="G87" s="67" t="e">
        <f>SUMIF(#REF!,XXXXFinRep!B87,#REF!)+SUMIF(#REF!,XXXXFinRep!B87,#REF!)</f>
        <v>#REF!</v>
      </c>
      <c r="H87" s="68" t="e">
        <f t="shared" si="12"/>
        <v>#REF!</v>
      </c>
      <c r="I87" s="69" t="e">
        <f t="shared" si="13"/>
        <v>#REF!</v>
      </c>
    </row>
    <row r="88" spans="1:9" x14ac:dyDescent="0.25">
      <c r="A88" s="2">
        <v>58</v>
      </c>
      <c r="B88" s="19" t="e">
        <f>VLOOKUP(A88,#REF!,2,FALSE)</f>
        <v>#REF!</v>
      </c>
      <c r="C88" s="20" t="e">
        <f>VLOOKUP(B88,#REF!,2,FALSE)</f>
        <v>#REF!</v>
      </c>
      <c r="D88" s="66" t="e">
        <f>SUMIF(#REF!,XXXXFinRep!B88,#REF!)</f>
        <v>#REF!</v>
      </c>
      <c r="E88" s="67" t="e">
        <f>SUMIF(#REF!,XXXXFinRep!B88,#REF!)+SUMIF(#REF!,XXXXFinRep!B88,#REF!)</f>
        <v>#REF!</v>
      </c>
      <c r="F88" s="67" t="e">
        <f>SUMIF(#REF!,XXXXFinRep!B88,#REF!)+SUMIF(#REF!,XXXXFinRep!B88,#REF!)</f>
        <v>#REF!</v>
      </c>
      <c r="G88" s="67" t="e">
        <f>SUMIF(#REF!,XXXXFinRep!B88,#REF!)+SUMIF(#REF!,XXXXFinRep!B88,#REF!)</f>
        <v>#REF!</v>
      </c>
      <c r="H88" s="68" t="e">
        <f t="shared" si="12"/>
        <v>#REF!</v>
      </c>
      <c r="I88" s="69" t="e">
        <f t="shared" si="13"/>
        <v>#REF!</v>
      </c>
    </row>
    <row r="89" spans="1:9" x14ac:dyDescent="0.25">
      <c r="A89" s="2">
        <v>59</v>
      </c>
      <c r="B89" s="19" t="e">
        <f>VLOOKUP(A89,#REF!,2,FALSE)</f>
        <v>#REF!</v>
      </c>
      <c r="C89" s="20" t="e">
        <f>VLOOKUP(B89,#REF!,2,FALSE)</f>
        <v>#REF!</v>
      </c>
      <c r="D89" s="66" t="e">
        <f>SUMIF(#REF!,XXXXFinRep!B89,#REF!)</f>
        <v>#REF!</v>
      </c>
      <c r="E89" s="67" t="e">
        <f>SUMIF(#REF!,XXXXFinRep!B89,#REF!)+SUMIF(#REF!,XXXXFinRep!B89,#REF!)</f>
        <v>#REF!</v>
      </c>
      <c r="F89" s="67" t="e">
        <f>SUMIF(#REF!,XXXXFinRep!B89,#REF!)+SUMIF(#REF!,XXXXFinRep!B89,#REF!)</f>
        <v>#REF!</v>
      </c>
      <c r="G89" s="67" t="e">
        <f>SUMIF(#REF!,XXXXFinRep!B89,#REF!)+SUMIF(#REF!,XXXXFinRep!B89,#REF!)</f>
        <v>#REF!</v>
      </c>
      <c r="H89" s="68" t="e">
        <f t="shared" si="12"/>
        <v>#REF!</v>
      </c>
      <c r="I89" s="69" t="e">
        <f t="shared" si="13"/>
        <v>#REF!</v>
      </c>
    </row>
    <row r="90" spans="1:9" x14ac:dyDescent="0.25">
      <c r="A90" s="2">
        <v>60</v>
      </c>
      <c r="B90" s="19" t="e">
        <f>VLOOKUP(A90,#REF!,2,FALSE)</f>
        <v>#REF!</v>
      </c>
      <c r="C90" s="20" t="e">
        <f>VLOOKUP(B90,#REF!,2,FALSE)</f>
        <v>#REF!</v>
      </c>
      <c r="D90" s="66" t="e">
        <f>SUMIF(#REF!,XXXXFinRep!B90,#REF!)</f>
        <v>#REF!</v>
      </c>
      <c r="E90" s="67" t="e">
        <f>SUMIF(#REF!,XXXXFinRep!B90,#REF!)+SUMIF(#REF!,XXXXFinRep!B90,#REF!)</f>
        <v>#REF!</v>
      </c>
      <c r="F90" s="67" t="e">
        <f>SUMIF(#REF!,XXXXFinRep!B90,#REF!)+SUMIF(#REF!,XXXXFinRep!B90,#REF!)</f>
        <v>#REF!</v>
      </c>
      <c r="G90" s="67" t="e">
        <f>SUMIF(#REF!,XXXXFinRep!B90,#REF!)+SUMIF(#REF!,XXXXFinRep!B90,#REF!)</f>
        <v>#REF!</v>
      </c>
      <c r="H90" s="68" t="e">
        <f t="shared" si="12"/>
        <v>#REF!</v>
      </c>
      <c r="I90" s="69" t="e">
        <f t="shared" si="13"/>
        <v>#REF!</v>
      </c>
    </row>
    <row r="91" spans="1:9" x14ac:dyDescent="0.25">
      <c r="A91" s="2">
        <v>61</v>
      </c>
      <c r="B91" s="19" t="e">
        <f>VLOOKUP(A91,#REF!,2,FALSE)</f>
        <v>#REF!</v>
      </c>
      <c r="C91" s="20" t="e">
        <f>VLOOKUP(B91,#REF!,2,FALSE)</f>
        <v>#REF!</v>
      </c>
      <c r="D91" s="66" t="e">
        <f>SUMIF(#REF!,XXXXFinRep!B91,#REF!)</f>
        <v>#REF!</v>
      </c>
      <c r="E91" s="67" t="e">
        <f>SUMIF(#REF!,XXXXFinRep!B91,#REF!)+SUMIF(#REF!,XXXXFinRep!B91,#REF!)</f>
        <v>#REF!</v>
      </c>
      <c r="F91" s="67" t="e">
        <f>SUMIF(#REF!,XXXXFinRep!B91,#REF!)+SUMIF(#REF!,XXXXFinRep!B91,#REF!)</f>
        <v>#REF!</v>
      </c>
      <c r="G91" s="67" t="e">
        <f>SUMIF(#REF!,XXXXFinRep!B91,#REF!)+SUMIF(#REF!,XXXXFinRep!B91,#REF!)</f>
        <v>#REF!</v>
      </c>
      <c r="H91" s="68" t="e">
        <f t="shared" si="12"/>
        <v>#REF!</v>
      </c>
      <c r="I91" s="69" t="e">
        <f t="shared" si="13"/>
        <v>#REF!</v>
      </c>
    </row>
    <row r="92" spans="1:9" x14ac:dyDescent="0.25">
      <c r="A92" s="2">
        <v>62</v>
      </c>
      <c r="B92" s="19" t="e">
        <f>VLOOKUP(A92,#REF!,2,FALSE)</f>
        <v>#REF!</v>
      </c>
      <c r="C92" s="20" t="e">
        <f>VLOOKUP(B92,#REF!,2,FALSE)</f>
        <v>#REF!</v>
      </c>
      <c r="D92" s="66" t="e">
        <f>SUMIF(#REF!,XXXXFinRep!B92,#REF!)</f>
        <v>#REF!</v>
      </c>
      <c r="E92" s="67" t="e">
        <f>SUMIF(#REF!,XXXXFinRep!B92,#REF!)+SUMIF(#REF!,XXXXFinRep!B92,#REF!)</f>
        <v>#REF!</v>
      </c>
      <c r="F92" s="67" t="e">
        <f>SUMIF(#REF!,XXXXFinRep!B92,#REF!)+SUMIF(#REF!,XXXXFinRep!B92,#REF!)</f>
        <v>#REF!</v>
      </c>
      <c r="G92" s="67" t="e">
        <f>SUMIF(#REF!,XXXXFinRep!B92,#REF!)+SUMIF(#REF!,XXXXFinRep!B92,#REF!)</f>
        <v>#REF!</v>
      </c>
      <c r="H92" s="68" t="e">
        <f t="shared" si="12"/>
        <v>#REF!</v>
      </c>
      <c r="I92" s="69" t="e">
        <f t="shared" si="13"/>
        <v>#REF!</v>
      </c>
    </row>
    <row r="93" spans="1:9" x14ac:dyDescent="0.25">
      <c r="A93" s="2">
        <v>63</v>
      </c>
      <c r="B93" s="19" t="e">
        <f>VLOOKUP(A93,#REF!,2,FALSE)</f>
        <v>#REF!</v>
      </c>
      <c r="C93" s="20" t="e">
        <f>VLOOKUP(B93,#REF!,2,FALSE)</f>
        <v>#REF!</v>
      </c>
      <c r="D93" s="66" t="e">
        <f>SUMIF(#REF!,XXXXFinRep!B93,#REF!)</f>
        <v>#REF!</v>
      </c>
      <c r="E93" s="67" t="e">
        <f>SUMIF(#REF!,XXXXFinRep!B93,#REF!)+SUMIF(#REF!,XXXXFinRep!B93,#REF!)</f>
        <v>#REF!</v>
      </c>
      <c r="F93" s="67" t="e">
        <f>SUMIF(#REF!,XXXXFinRep!B93,#REF!)+SUMIF(#REF!,XXXXFinRep!B93,#REF!)</f>
        <v>#REF!</v>
      </c>
      <c r="G93" s="67" t="e">
        <f>SUMIF(#REF!,XXXXFinRep!B93,#REF!)+SUMIF(#REF!,XXXXFinRep!B93,#REF!)</f>
        <v>#REF!</v>
      </c>
      <c r="H93" s="68" t="e">
        <f t="shared" si="12"/>
        <v>#REF!</v>
      </c>
      <c r="I93" s="69" t="e">
        <f t="shared" si="13"/>
        <v>#REF!</v>
      </c>
    </row>
    <row r="94" spans="1:9" x14ac:dyDescent="0.25">
      <c r="A94" s="2">
        <v>64</v>
      </c>
      <c r="B94" s="19" t="e">
        <f>VLOOKUP(A94,#REF!,2,FALSE)</f>
        <v>#REF!</v>
      </c>
      <c r="C94" s="20" t="e">
        <f>VLOOKUP(B94,#REF!,2,FALSE)</f>
        <v>#REF!</v>
      </c>
      <c r="D94" s="66" t="e">
        <f>SUMIF(#REF!,XXXXFinRep!B94,#REF!)</f>
        <v>#REF!</v>
      </c>
      <c r="E94" s="67" t="e">
        <f>SUMIF(#REF!,XXXXFinRep!B94,#REF!)+SUMIF(#REF!,XXXXFinRep!B94,#REF!)</f>
        <v>#REF!</v>
      </c>
      <c r="F94" s="67" t="e">
        <f>SUMIF(#REF!,XXXXFinRep!B94,#REF!)+SUMIF(#REF!,XXXXFinRep!B94,#REF!)</f>
        <v>#REF!</v>
      </c>
      <c r="G94" s="67" t="e">
        <f>SUMIF(#REF!,XXXXFinRep!B94,#REF!)+SUMIF(#REF!,XXXXFinRep!B94,#REF!)</f>
        <v>#REF!</v>
      </c>
      <c r="H94" s="68" t="e">
        <f t="shared" si="12"/>
        <v>#REF!</v>
      </c>
      <c r="I94" s="69" t="e">
        <f t="shared" si="13"/>
        <v>#REF!</v>
      </c>
    </row>
    <row r="95" spans="1:9" x14ac:dyDescent="0.25">
      <c r="A95" s="2">
        <v>65</v>
      </c>
      <c r="B95" s="19" t="e">
        <f>VLOOKUP(A95,#REF!,2,FALSE)</f>
        <v>#REF!</v>
      </c>
      <c r="C95" s="20" t="e">
        <f>VLOOKUP(B95,#REF!,2,FALSE)</f>
        <v>#REF!</v>
      </c>
      <c r="D95" s="66" t="e">
        <f>SUMIF(#REF!,XXXXFinRep!B95,#REF!)</f>
        <v>#REF!</v>
      </c>
      <c r="E95" s="67" t="e">
        <f>SUMIF(#REF!,XXXXFinRep!B95,#REF!)+SUMIF(#REF!,XXXXFinRep!B95,#REF!)</f>
        <v>#REF!</v>
      </c>
      <c r="F95" s="67" t="e">
        <f>SUMIF(#REF!,XXXXFinRep!B95,#REF!)+SUMIF(#REF!,XXXXFinRep!B95,#REF!)</f>
        <v>#REF!</v>
      </c>
      <c r="G95" s="67" t="e">
        <f>SUMIF(#REF!,XXXXFinRep!B95,#REF!)+SUMIF(#REF!,XXXXFinRep!B95,#REF!)</f>
        <v>#REF!</v>
      </c>
      <c r="H95" s="68" t="e">
        <f t="shared" si="12"/>
        <v>#REF!</v>
      </c>
      <c r="I95" s="69" t="e">
        <f t="shared" si="13"/>
        <v>#REF!</v>
      </c>
    </row>
    <row r="96" spans="1:9" x14ac:dyDescent="0.25">
      <c r="A96" s="2">
        <v>66</v>
      </c>
      <c r="B96" s="19" t="e">
        <f>VLOOKUP(A96,#REF!,2,FALSE)</f>
        <v>#REF!</v>
      </c>
      <c r="C96" s="20" t="e">
        <f>VLOOKUP(B96,#REF!,2,FALSE)</f>
        <v>#REF!</v>
      </c>
      <c r="D96" s="66" t="e">
        <f>SUMIF(#REF!,XXXXFinRep!B96,#REF!)</f>
        <v>#REF!</v>
      </c>
      <c r="E96" s="67" t="e">
        <f>SUMIF(#REF!,XXXXFinRep!B96,#REF!)+SUMIF(#REF!,XXXXFinRep!B96,#REF!)</f>
        <v>#REF!</v>
      </c>
      <c r="F96" s="67" t="e">
        <f>SUMIF(#REF!,XXXXFinRep!B96,#REF!)+SUMIF(#REF!,XXXXFinRep!B96,#REF!)</f>
        <v>#REF!</v>
      </c>
      <c r="G96" s="67" t="e">
        <f>SUMIF(#REF!,XXXXFinRep!B96,#REF!)+SUMIF(#REF!,XXXXFinRep!B96,#REF!)</f>
        <v>#REF!</v>
      </c>
      <c r="H96" s="68" t="e">
        <f t="shared" si="12"/>
        <v>#REF!</v>
      </c>
      <c r="I96" s="69" t="e">
        <f t="shared" si="13"/>
        <v>#REF!</v>
      </c>
    </row>
    <row r="97" spans="1:9" x14ac:dyDescent="0.25">
      <c r="A97" s="2">
        <v>67</v>
      </c>
      <c r="B97" s="19" t="e">
        <f>VLOOKUP(A97,#REF!,2,FALSE)</f>
        <v>#REF!</v>
      </c>
      <c r="C97" s="20" t="e">
        <f>VLOOKUP(B97,#REF!,2,FALSE)</f>
        <v>#REF!</v>
      </c>
      <c r="D97" s="66" t="e">
        <f>SUMIF(#REF!,XXXXFinRep!B97,#REF!)</f>
        <v>#REF!</v>
      </c>
      <c r="E97" s="67" t="e">
        <f>SUMIF(#REF!,XXXXFinRep!B97,#REF!)+SUMIF(#REF!,XXXXFinRep!B97,#REF!)</f>
        <v>#REF!</v>
      </c>
      <c r="F97" s="67" t="e">
        <f>SUMIF(#REF!,XXXXFinRep!B97,#REF!)+SUMIF(#REF!,XXXXFinRep!B97,#REF!)</f>
        <v>#REF!</v>
      </c>
      <c r="G97" s="67" t="e">
        <f>SUMIF(#REF!,XXXXFinRep!B97,#REF!)+SUMIF(#REF!,XXXXFinRep!B97,#REF!)</f>
        <v>#REF!</v>
      </c>
      <c r="H97" s="68" t="e">
        <f t="shared" si="12"/>
        <v>#REF!</v>
      </c>
      <c r="I97" s="69" t="e">
        <f t="shared" si="13"/>
        <v>#REF!</v>
      </c>
    </row>
    <row r="98" spans="1:9" x14ac:dyDescent="0.25">
      <c r="A98" s="2">
        <v>68</v>
      </c>
      <c r="B98" s="19" t="e">
        <f>VLOOKUP(A98,#REF!,2,FALSE)</f>
        <v>#REF!</v>
      </c>
      <c r="C98" s="20" t="e">
        <f>VLOOKUP(B98,#REF!,2,FALSE)</f>
        <v>#REF!</v>
      </c>
      <c r="D98" s="66" t="e">
        <f>SUMIF(#REF!,XXXXFinRep!B98,#REF!)</f>
        <v>#REF!</v>
      </c>
      <c r="E98" s="67" t="e">
        <f>SUMIF(#REF!,XXXXFinRep!B98,#REF!)+SUMIF(#REF!,XXXXFinRep!B98,#REF!)</f>
        <v>#REF!</v>
      </c>
      <c r="F98" s="67" t="e">
        <f>SUMIF(#REF!,XXXXFinRep!B98,#REF!)+SUMIF(#REF!,XXXXFinRep!B98,#REF!)</f>
        <v>#REF!</v>
      </c>
      <c r="G98" s="67" t="e">
        <f>SUMIF(#REF!,XXXXFinRep!B98,#REF!)+SUMIF(#REF!,XXXXFinRep!B98,#REF!)</f>
        <v>#REF!</v>
      </c>
      <c r="H98" s="68" t="e">
        <f t="shared" si="12"/>
        <v>#REF!</v>
      </c>
      <c r="I98" s="69" t="e">
        <f t="shared" si="13"/>
        <v>#REF!</v>
      </c>
    </row>
    <row r="99" spans="1:9" x14ac:dyDescent="0.25">
      <c r="A99" s="2">
        <v>69</v>
      </c>
      <c r="B99" s="19" t="e">
        <f>VLOOKUP(A99,#REF!,2,FALSE)</f>
        <v>#REF!</v>
      </c>
      <c r="C99" s="20" t="e">
        <f>VLOOKUP(B99,#REF!,2,FALSE)</f>
        <v>#REF!</v>
      </c>
      <c r="D99" s="66" t="e">
        <f>SUMIF(#REF!,XXXXFinRep!B99,#REF!)</f>
        <v>#REF!</v>
      </c>
      <c r="E99" s="67" t="e">
        <f>SUMIF(#REF!,XXXXFinRep!B99,#REF!)+SUMIF(#REF!,XXXXFinRep!B99,#REF!)</f>
        <v>#REF!</v>
      </c>
      <c r="F99" s="67" t="e">
        <f>SUMIF(#REF!,XXXXFinRep!B99,#REF!)+SUMIF(#REF!,XXXXFinRep!B99,#REF!)</f>
        <v>#REF!</v>
      </c>
      <c r="G99" s="67" t="e">
        <f>SUMIF(#REF!,XXXXFinRep!B99,#REF!)+SUMIF(#REF!,XXXXFinRep!B99,#REF!)</f>
        <v>#REF!</v>
      </c>
      <c r="H99" s="68" t="e">
        <f t="shared" si="12"/>
        <v>#REF!</v>
      </c>
      <c r="I99" s="69" t="e">
        <f t="shared" si="13"/>
        <v>#REF!</v>
      </c>
    </row>
    <row r="100" spans="1:9" x14ac:dyDescent="0.25">
      <c r="A100" s="2">
        <v>70</v>
      </c>
      <c r="B100" s="19" t="e">
        <f>VLOOKUP(A100,#REF!,2,FALSE)</f>
        <v>#REF!</v>
      </c>
      <c r="C100" s="20" t="e">
        <f>VLOOKUP(B100,#REF!,2,FALSE)</f>
        <v>#REF!</v>
      </c>
      <c r="D100" s="66" t="e">
        <f>SUMIF(#REF!,XXXXFinRep!B100,#REF!)</f>
        <v>#REF!</v>
      </c>
      <c r="E100" s="67" t="e">
        <f>SUMIF(#REF!,XXXXFinRep!B100,#REF!)+SUMIF(#REF!,XXXXFinRep!B100,#REF!)</f>
        <v>#REF!</v>
      </c>
      <c r="F100" s="67" t="e">
        <f>SUMIF(#REF!,XXXXFinRep!B100,#REF!)+SUMIF(#REF!,XXXXFinRep!B100,#REF!)</f>
        <v>#REF!</v>
      </c>
      <c r="G100" s="67" t="e">
        <f>SUMIF(#REF!,XXXXFinRep!B100,#REF!)+SUMIF(#REF!,XXXXFinRep!B100,#REF!)</f>
        <v>#REF!</v>
      </c>
      <c r="H100" s="68" t="e">
        <f t="shared" si="12"/>
        <v>#REF!</v>
      </c>
      <c r="I100" s="69" t="e">
        <f t="shared" si="13"/>
        <v>#REF!</v>
      </c>
    </row>
    <row r="101" spans="1:9" x14ac:dyDescent="0.25">
      <c r="B101" s="26" t="s">
        <v>137</v>
      </c>
      <c r="C101" s="28" t="s">
        <v>63</v>
      </c>
      <c r="D101" s="78" t="e">
        <f>SUM(D81:D100)</f>
        <v>#REF!</v>
      </c>
      <c r="E101" s="78" t="e">
        <f t="shared" ref="E101:I101" si="14">SUM(E81:E100)</f>
        <v>#REF!</v>
      </c>
      <c r="F101" s="78" t="e">
        <f t="shared" si="14"/>
        <v>#REF!</v>
      </c>
      <c r="G101" s="78" t="e">
        <f t="shared" si="14"/>
        <v>#REF!</v>
      </c>
      <c r="H101" s="78" t="e">
        <f t="shared" si="14"/>
        <v>#REF!</v>
      </c>
      <c r="I101" s="78" t="e">
        <f t="shared" si="14"/>
        <v>#REF!</v>
      </c>
    </row>
    <row r="102" spans="1:9" x14ac:dyDescent="0.25">
      <c r="B102" s="19"/>
      <c r="D102" s="66"/>
      <c r="E102" s="67"/>
      <c r="F102" s="67"/>
      <c r="G102" s="67"/>
      <c r="H102" s="68"/>
      <c r="I102" s="69"/>
    </row>
    <row r="103" spans="1:9" x14ac:dyDescent="0.25">
      <c r="B103" s="26">
        <v>4</v>
      </c>
      <c r="C103" s="27" t="e">
        <f>VLOOKUP(B103,#REF!,2,FALSE)</f>
        <v>#REF!</v>
      </c>
      <c r="D103" s="66"/>
      <c r="E103" s="67"/>
      <c r="F103" s="67"/>
      <c r="G103" s="67"/>
      <c r="H103" s="68"/>
      <c r="I103" s="69"/>
    </row>
    <row r="104" spans="1:9" x14ac:dyDescent="0.25">
      <c r="A104" s="2">
        <v>71</v>
      </c>
      <c r="B104" s="19" t="e">
        <f>VLOOKUP(A104,#REF!,2,FALSE)</f>
        <v>#REF!</v>
      </c>
      <c r="C104" s="20" t="e">
        <f>VLOOKUP(B104,#REF!,2,FALSE)</f>
        <v>#REF!</v>
      </c>
      <c r="D104" s="66" t="e">
        <f>SUMIF(#REF!,XXXXFinRep!B104,#REF!)</f>
        <v>#REF!</v>
      </c>
      <c r="E104" s="67" t="e">
        <f>SUMIF(#REF!,XXXXFinRep!B104,#REF!)+SUMIF(#REF!,XXXXFinRep!B104,#REF!)</f>
        <v>#REF!</v>
      </c>
      <c r="F104" s="67" t="e">
        <f>SUMIF(#REF!,XXXXFinRep!B104,#REF!)+SUMIF(#REF!,XXXXFinRep!B104,#REF!)</f>
        <v>#REF!</v>
      </c>
      <c r="G104" s="67" t="e">
        <f>SUMIF(#REF!,XXXXFinRep!B104,#REF!)+SUMIF(#REF!,XXXXFinRep!B104,#REF!)</f>
        <v>#REF!</v>
      </c>
      <c r="H104" s="68" t="e">
        <f t="shared" ref="H104:H123" si="15">SUM(E104,F104,G104)</f>
        <v>#REF!</v>
      </c>
      <c r="I104" s="69" t="e">
        <f t="shared" ref="I104:I123" si="16">SUM(D104-H104)</f>
        <v>#REF!</v>
      </c>
    </row>
    <row r="105" spans="1:9" x14ac:dyDescent="0.25">
      <c r="A105" s="2">
        <v>72</v>
      </c>
      <c r="B105" s="19" t="e">
        <f>VLOOKUP(A105,#REF!,2,FALSE)</f>
        <v>#REF!</v>
      </c>
      <c r="C105" s="20" t="e">
        <f>VLOOKUP(B105,#REF!,2,FALSE)</f>
        <v>#REF!</v>
      </c>
      <c r="D105" s="66" t="e">
        <f>SUMIF(#REF!,XXXXFinRep!B105,#REF!)</f>
        <v>#REF!</v>
      </c>
      <c r="E105" s="67" t="e">
        <f>SUMIF(#REF!,XXXXFinRep!B105,#REF!)+SUMIF(#REF!,XXXXFinRep!B105,#REF!)</f>
        <v>#REF!</v>
      </c>
      <c r="F105" s="67" t="e">
        <f>SUMIF(#REF!,XXXXFinRep!B105,#REF!)+SUMIF(#REF!,XXXXFinRep!B105,#REF!)</f>
        <v>#REF!</v>
      </c>
      <c r="G105" s="67" t="e">
        <f>SUMIF(#REF!,XXXXFinRep!B105,#REF!)+SUMIF(#REF!,XXXXFinRep!B105,#REF!)</f>
        <v>#REF!</v>
      </c>
      <c r="H105" s="68" t="e">
        <f t="shared" si="15"/>
        <v>#REF!</v>
      </c>
      <c r="I105" s="69" t="e">
        <f t="shared" si="16"/>
        <v>#REF!</v>
      </c>
    </row>
    <row r="106" spans="1:9" x14ac:dyDescent="0.25">
      <c r="A106" s="2">
        <v>73</v>
      </c>
      <c r="B106" s="19" t="e">
        <f>VLOOKUP(A106,#REF!,2,FALSE)</f>
        <v>#REF!</v>
      </c>
      <c r="C106" s="20" t="e">
        <f>VLOOKUP(B106,#REF!,2,FALSE)</f>
        <v>#REF!</v>
      </c>
      <c r="D106" s="66" t="e">
        <f>SUMIF(#REF!,XXXXFinRep!B106,#REF!)</f>
        <v>#REF!</v>
      </c>
      <c r="E106" s="67" t="e">
        <f>SUMIF(#REF!,XXXXFinRep!B106,#REF!)+SUMIF(#REF!,XXXXFinRep!B106,#REF!)</f>
        <v>#REF!</v>
      </c>
      <c r="F106" s="67" t="e">
        <f>SUMIF(#REF!,XXXXFinRep!B106,#REF!)+SUMIF(#REF!,XXXXFinRep!B106,#REF!)</f>
        <v>#REF!</v>
      </c>
      <c r="G106" s="67" t="e">
        <f>SUMIF(#REF!,XXXXFinRep!B106,#REF!)+SUMIF(#REF!,XXXXFinRep!B106,#REF!)</f>
        <v>#REF!</v>
      </c>
      <c r="H106" s="68" t="e">
        <f t="shared" si="15"/>
        <v>#REF!</v>
      </c>
      <c r="I106" s="69" t="e">
        <f t="shared" si="16"/>
        <v>#REF!</v>
      </c>
    </row>
    <row r="107" spans="1:9" x14ac:dyDescent="0.25">
      <c r="A107" s="2">
        <v>74</v>
      </c>
      <c r="B107" s="19" t="e">
        <f>VLOOKUP(A107,#REF!,2,FALSE)</f>
        <v>#REF!</v>
      </c>
      <c r="C107" s="20" t="e">
        <f>VLOOKUP(B107,#REF!,2,FALSE)</f>
        <v>#REF!</v>
      </c>
      <c r="D107" s="66" t="e">
        <f>SUMIF(#REF!,XXXXFinRep!B107,#REF!)</f>
        <v>#REF!</v>
      </c>
      <c r="E107" s="67" t="e">
        <f>SUMIF(#REF!,XXXXFinRep!B107,#REF!)+SUMIF(#REF!,XXXXFinRep!B107,#REF!)</f>
        <v>#REF!</v>
      </c>
      <c r="F107" s="67" t="e">
        <f>SUMIF(#REF!,XXXXFinRep!B107,#REF!)+SUMIF(#REF!,XXXXFinRep!B107,#REF!)</f>
        <v>#REF!</v>
      </c>
      <c r="G107" s="67" t="e">
        <f>SUMIF(#REF!,XXXXFinRep!B107,#REF!)+SUMIF(#REF!,XXXXFinRep!B107,#REF!)</f>
        <v>#REF!</v>
      </c>
      <c r="H107" s="68" t="e">
        <f t="shared" si="15"/>
        <v>#REF!</v>
      </c>
      <c r="I107" s="69" t="e">
        <f t="shared" si="16"/>
        <v>#REF!</v>
      </c>
    </row>
    <row r="108" spans="1:9" x14ac:dyDescent="0.25">
      <c r="A108" s="2">
        <v>75</v>
      </c>
      <c r="B108" s="19" t="e">
        <f>VLOOKUP(A108,#REF!,2,FALSE)</f>
        <v>#REF!</v>
      </c>
      <c r="C108" s="20" t="e">
        <f>VLOOKUP(B108,#REF!,2,FALSE)</f>
        <v>#REF!</v>
      </c>
      <c r="D108" s="66" t="e">
        <f>SUMIF(#REF!,XXXXFinRep!B108,#REF!)</f>
        <v>#REF!</v>
      </c>
      <c r="E108" s="67" t="e">
        <f>SUMIF(#REF!,XXXXFinRep!B108,#REF!)+SUMIF(#REF!,XXXXFinRep!B108,#REF!)</f>
        <v>#REF!</v>
      </c>
      <c r="F108" s="67" t="e">
        <f>SUMIF(#REF!,XXXXFinRep!B108,#REF!)+SUMIF(#REF!,XXXXFinRep!B108,#REF!)</f>
        <v>#REF!</v>
      </c>
      <c r="G108" s="67" t="e">
        <f>SUMIF(#REF!,XXXXFinRep!B108,#REF!)+SUMIF(#REF!,XXXXFinRep!B108,#REF!)</f>
        <v>#REF!</v>
      </c>
      <c r="H108" s="68" t="e">
        <f t="shared" si="15"/>
        <v>#REF!</v>
      </c>
      <c r="I108" s="69" t="e">
        <f t="shared" si="16"/>
        <v>#REF!</v>
      </c>
    </row>
    <row r="109" spans="1:9" x14ac:dyDescent="0.25">
      <c r="A109" s="2">
        <v>76</v>
      </c>
      <c r="B109" s="19" t="e">
        <f>VLOOKUP(A109,#REF!,2,FALSE)</f>
        <v>#REF!</v>
      </c>
      <c r="C109" s="20" t="e">
        <f>VLOOKUP(B109,#REF!,2,FALSE)</f>
        <v>#REF!</v>
      </c>
      <c r="D109" s="66" t="e">
        <f>SUMIF(#REF!,XXXXFinRep!B109,#REF!)</f>
        <v>#REF!</v>
      </c>
      <c r="E109" s="67" t="e">
        <f>SUMIF(#REF!,XXXXFinRep!B109,#REF!)+SUMIF(#REF!,XXXXFinRep!B109,#REF!)</f>
        <v>#REF!</v>
      </c>
      <c r="F109" s="67" t="e">
        <f>SUMIF(#REF!,XXXXFinRep!B109,#REF!)+SUMIF(#REF!,XXXXFinRep!B109,#REF!)</f>
        <v>#REF!</v>
      </c>
      <c r="G109" s="67" t="e">
        <f>SUMIF(#REF!,XXXXFinRep!B109,#REF!)+SUMIF(#REF!,XXXXFinRep!B109,#REF!)</f>
        <v>#REF!</v>
      </c>
      <c r="H109" s="68" t="e">
        <f t="shared" si="15"/>
        <v>#REF!</v>
      </c>
      <c r="I109" s="69" t="e">
        <f t="shared" si="16"/>
        <v>#REF!</v>
      </c>
    </row>
    <row r="110" spans="1:9" x14ac:dyDescent="0.25">
      <c r="A110" s="2">
        <v>77</v>
      </c>
      <c r="B110" s="19" t="e">
        <f>VLOOKUP(A110,#REF!,2,FALSE)</f>
        <v>#REF!</v>
      </c>
      <c r="C110" s="20" t="e">
        <f>VLOOKUP(B110,#REF!,2,FALSE)</f>
        <v>#REF!</v>
      </c>
      <c r="D110" s="66" t="e">
        <f>SUMIF(#REF!,XXXXFinRep!B110,#REF!)</f>
        <v>#REF!</v>
      </c>
      <c r="E110" s="67" t="e">
        <f>SUMIF(#REF!,XXXXFinRep!B110,#REF!)+SUMIF(#REF!,XXXXFinRep!B110,#REF!)</f>
        <v>#REF!</v>
      </c>
      <c r="F110" s="67" t="e">
        <f>SUMIF(#REF!,XXXXFinRep!B110,#REF!)+SUMIF(#REF!,XXXXFinRep!B110,#REF!)</f>
        <v>#REF!</v>
      </c>
      <c r="G110" s="67" t="e">
        <f>SUMIF(#REF!,XXXXFinRep!B110,#REF!)+SUMIF(#REF!,XXXXFinRep!B110,#REF!)</f>
        <v>#REF!</v>
      </c>
      <c r="H110" s="68" t="e">
        <f t="shared" si="15"/>
        <v>#REF!</v>
      </c>
      <c r="I110" s="69" t="e">
        <f t="shared" si="16"/>
        <v>#REF!</v>
      </c>
    </row>
    <row r="111" spans="1:9" x14ac:dyDescent="0.25">
      <c r="A111" s="2">
        <v>78</v>
      </c>
      <c r="B111" s="19" t="e">
        <f>VLOOKUP(A111,#REF!,2,FALSE)</f>
        <v>#REF!</v>
      </c>
      <c r="C111" s="20" t="e">
        <f>VLOOKUP(B111,#REF!,2,FALSE)</f>
        <v>#REF!</v>
      </c>
      <c r="D111" s="66" t="e">
        <f>SUMIF(#REF!,XXXXFinRep!B111,#REF!)</f>
        <v>#REF!</v>
      </c>
      <c r="E111" s="67" t="e">
        <f>SUMIF(#REF!,XXXXFinRep!B111,#REF!)+SUMIF(#REF!,XXXXFinRep!B111,#REF!)</f>
        <v>#REF!</v>
      </c>
      <c r="F111" s="67" t="e">
        <f>SUMIF(#REF!,XXXXFinRep!B111,#REF!)+SUMIF(#REF!,XXXXFinRep!B111,#REF!)</f>
        <v>#REF!</v>
      </c>
      <c r="G111" s="67" t="e">
        <f>SUMIF(#REF!,XXXXFinRep!B111,#REF!)+SUMIF(#REF!,XXXXFinRep!B111,#REF!)</f>
        <v>#REF!</v>
      </c>
      <c r="H111" s="68" t="e">
        <f t="shared" si="15"/>
        <v>#REF!</v>
      </c>
      <c r="I111" s="69" t="e">
        <f t="shared" si="16"/>
        <v>#REF!</v>
      </c>
    </row>
    <row r="112" spans="1:9" x14ac:dyDescent="0.25">
      <c r="A112" s="2">
        <v>79</v>
      </c>
      <c r="B112" s="19" t="e">
        <f>VLOOKUP(A112,#REF!,2,FALSE)</f>
        <v>#REF!</v>
      </c>
      <c r="C112" s="20" t="e">
        <f>VLOOKUP(B112,#REF!,2,FALSE)</f>
        <v>#REF!</v>
      </c>
      <c r="D112" s="66" t="e">
        <f>SUMIF(#REF!,XXXXFinRep!B112,#REF!)</f>
        <v>#REF!</v>
      </c>
      <c r="E112" s="67" t="e">
        <f>SUMIF(#REF!,XXXXFinRep!B112,#REF!)+SUMIF(#REF!,XXXXFinRep!B112,#REF!)</f>
        <v>#REF!</v>
      </c>
      <c r="F112" s="67" t="e">
        <f>SUMIF(#REF!,XXXXFinRep!B112,#REF!)+SUMIF(#REF!,XXXXFinRep!B112,#REF!)</f>
        <v>#REF!</v>
      </c>
      <c r="G112" s="67" t="e">
        <f>SUMIF(#REF!,XXXXFinRep!B112,#REF!)+SUMIF(#REF!,XXXXFinRep!B112,#REF!)</f>
        <v>#REF!</v>
      </c>
      <c r="H112" s="68" t="e">
        <f t="shared" si="15"/>
        <v>#REF!</v>
      </c>
      <c r="I112" s="69" t="e">
        <f t="shared" si="16"/>
        <v>#REF!</v>
      </c>
    </row>
    <row r="113" spans="1:9" x14ac:dyDescent="0.25">
      <c r="A113" s="2">
        <v>80</v>
      </c>
      <c r="B113" s="19" t="e">
        <f>VLOOKUP(A113,#REF!,2,FALSE)</f>
        <v>#REF!</v>
      </c>
      <c r="C113" s="20" t="e">
        <f>VLOOKUP(B113,#REF!,2,FALSE)</f>
        <v>#REF!</v>
      </c>
      <c r="D113" s="66" t="e">
        <f>SUMIF(#REF!,XXXXFinRep!B113,#REF!)</f>
        <v>#REF!</v>
      </c>
      <c r="E113" s="67" t="e">
        <f>SUMIF(#REF!,XXXXFinRep!B113,#REF!)+SUMIF(#REF!,XXXXFinRep!B113,#REF!)</f>
        <v>#REF!</v>
      </c>
      <c r="F113" s="67" t="e">
        <f>SUMIF(#REF!,XXXXFinRep!B113,#REF!)+SUMIF(#REF!,XXXXFinRep!B113,#REF!)</f>
        <v>#REF!</v>
      </c>
      <c r="G113" s="67" t="e">
        <f>SUMIF(#REF!,XXXXFinRep!B113,#REF!)+SUMIF(#REF!,XXXXFinRep!B113,#REF!)</f>
        <v>#REF!</v>
      </c>
      <c r="H113" s="68" t="e">
        <f t="shared" si="15"/>
        <v>#REF!</v>
      </c>
      <c r="I113" s="69" t="e">
        <f t="shared" si="16"/>
        <v>#REF!</v>
      </c>
    </row>
    <row r="114" spans="1:9" x14ac:dyDescent="0.25">
      <c r="A114" s="2">
        <v>81</v>
      </c>
      <c r="B114" s="19" t="e">
        <f>VLOOKUP(A114,#REF!,2,FALSE)</f>
        <v>#REF!</v>
      </c>
      <c r="C114" s="20" t="e">
        <f>VLOOKUP(B114,#REF!,2,FALSE)</f>
        <v>#REF!</v>
      </c>
      <c r="D114" s="66" t="e">
        <f>SUMIF(#REF!,XXXXFinRep!B114,#REF!)</f>
        <v>#REF!</v>
      </c>
      <c r="E114" s="67" t="e">
        <f>SUMIF(#REF!,XXXXFinRep!B114,#REF!)+SUMIF(#REF!,XXXXFinRep!B114,#REF!)</f>
        <v>#REF!</v>
      </c>
      <c r="F114" s="67" t="e">
        <f>SUMIF(#REF!,XXXXFinRep!B114,#REF!)+SUMIF(#REF!,XXXXFinRep!B114,#REF!)</f>
        <v>#REF!</v>
      </c>
      <c r="G114" s="67" t="e">
        <f>SUMIF(#REF!,XXXXFinRep!B114,#REF!)+SUMIF(#REF!,XXXXFinRep!B114,#REF!)</f>
        <v>#REF!</v>
      </c>
      <c r="H114" s="68" t="e">
        <f t="shared" si="15"/>
        <v>#REF!</v>
      </c>
      <c r="I114" s="69" t="e">
        <f t="shared" si="16"/>
        <v>#REF!</v>
      </c>
    </row>
    <row r="115" spans="1:9" x14ac:dyDescent="0.25">
      <c r="A115" s="2">
        <v>82</v>
      </c>
      <c r="B115" s="19" t="e">
        <f>VLOOKUP(A115,#REF!,2,FALSE)</f>
        <v>#REF!</v>
      </c>
      <c r="C115" s="20" t="e">
        <f>VLOOKUP(B115,#REF!,2,FALSE)</f>
        <v>#REF!</v>
      </c>
      <c r="D115" s="66" t="e">
        <f>SUMIF(#REF!,XXXXFinRep!B115,#REF!)</f>
        <v>#REF!</v>
      </c>
      <c r="E115" s="67" t="e">
        <f>SUMIF(#REF!,XXXXFinRep!B115,#REF!)+SUMIF(#REF!,XXXXFinRep!B115,#REF!)</f>
        <v>#REF!</v>
      </c>
      <c r="F115" s="67" t="e">
        <f>SUMIF(#REF!,XXXXFinRep!B115,#REF!)+SUMIF(#REF!,XXXXFinRep!B115,#REF!)</f>
        <v>#REF!</v>
      </c>
      <c r="G115" s="67" t="e">
        <f>SUMIF(#REF!,XXXXFinRep!B115,#REF!)+SUMIF(#REF!,XXXXFinRep!B115,#REF!)</f>
        <v>#REF!</v>
      </c>
      <c r="H115" s="68" t="e">
        <f t="shared" si="15"/>
        <v>#REF!</v>
      </c>
      <c r="I115" s="69" t="e">
        <f t="shared" si="16"/>
        <v>#REF!</v>
      </c>
    </row>
    <row r="116" spans="1:9" x14ac:dyDescent="0.25">
      <c r="A116" s="2">
        <v>83</v>
      </c>
      <c r="B116" s="19" t="e">
        <f>VLOOKUP(A116,#REF!,2,FALSE)</f>
        <v>#REF!</v>
      </c>
      <c r="C116" s="20" t="e">
        <f>VLOOKUP(B116,#REF!,2,FALSE)</f>
        <v>#REF!</v>
      </c>
      <c r="D116" s="66" t="e">
        <f>SUMIF(#REF!,XXXXFinRep!B116,#REF!)</f>
        <v>#REF!</v>
      </c>
      <c r="E116" s="67" t="e">
        <f>SUMIF(#REF!,XXXXFinRep!B116,#REF!)+SUMIF(#REF!,XXXXFinRep!B116,#REF!)</f>
        <v>#REF!</v>
      </c>
      <c r="F116" s="67" t="e">
        <f>SUMIF(#REF!,XXXXFinRep!B116,#REF!)+SUMIF(#REF!,XXXXFinRep!B116,#REF!)</f>
        <v>#REF!</v>
      </c>
      <c r="G116" s="67" t="e">
        <f>SUMIF(#REF!,XXXXFinRep!B116,#REF!)+SUMIF(#REF!,XXXXFinRep!B116,#REF!)</f>
        <v>#REF!</v>
      </c>
      <c r="H116" s="68" t="e">
        <f t="shared" si="15"/>
        <v>#REF!</v>
      </c>
      <c r="I116" s="69" t="e">
        <f t="shared" si="16"/>
        <v>#REF!</v>
      </c>
    </row>
    <row r="117" spans="1:9" x14ac:dyDescent="0.25">
      <c r="A117" s="2">
        <v>84</v>
      </c>
      <c r="B117" s="19" t="e">
        <f>VLOOKUP(A117,#REF!,2,FALSE)</f>
        <v>#REF!</v>
      </c>
      <c r="C117" s="20" t="e">
        <f>VLOOKUP(B117,#REF!,2,FALSE)</f>
        <v>#REF!</v>
      </c>
      <c r="D117" s="66" t="e">
        <f>SUMIF(#REF!,XXXXFinRep!B117,#REF!)</f>
        <v>#REF!</v>
      </c>
      <c r="E117" s="67" t="e">
        <f>SUMIF(#REF!,XXXXFinRep!B117,#REF!)+SUMIF(#REF!,XXXXFinRep!B117,#REF!)</f>
        <v>#REF!</v>
      </c>
      <c r="F117" s="67" t="e">
        <f>SUMIF(#REF!,XXXXFinRep!B117,#REF!)+SUMIF(#REF!,XXXXFinRep!B117,#REF!)</f>
        <v>#REF!</v>
      </c>
      <c r="G117" s="67" t="e">
        <f>SUMIF(#REF!,XXXXFinRep!B117,#REF!)+SUMIF(#REF!,XXXXFinRep!B117,#REF!)</f>
        <v>#REF!</v>
      </c>
      <c r="H117" s="68" t="e">
        <f t="shared" si="15"/>
        <v>#REF!</v>
      </c>
      <c r="I117" s="69" t="e">
        <f t="shared" si="16"/>
        <v>#REF!</v>
      </c>
    </row>
    <row r="118" spans="1:9" x14ac:dyDescent="0.25">
      <c r="A118" s="2">
        <v>85</v>
      </c>
      <c r="B118" s="19" t="e">
        <f>VLOOKUP(A118,#REF!,2,FALSE)</f>
        <v>#REF!</v>
      </c>
      <c r="C118" s="20" t="e">
        <f>VLOOKUP(B118,#REF!,2,FALSE)</f>
        <v>#REF!</v>
      </c>
      <c r="D118" s="66" t="e">
        <f>SUMIF(#REF!,XXXXFinRep!B118,#REF!)</f>
        <v>#REF!</v>
      </c>
      <c r="E118" s="67" t="e">
        <f>SUMIF(#REF!,XXXXFinRep!B118,#REF!)+SUMIF(#REF!,XXXXFinRep!B118,#REF!)</f>
        <v>#REF!</v>
      </c>
      <c r="F118" s="67" t="e">
        <f>SUMIF(#REF!,XXXXFinRep!B118,#REF!)+SUMIF(#REF!,XXXXFinRep!B118,#REF!)</f>
        <v>#REF!</v>
      </c>
      <c r="G118" s="67" t="e">
        <f>SUMIF(#REF!,XXXXFinRep!B118,#REF!)+SUMIF(#REF!,XXXXFinRep!B118,#REF!)</f>
        <v>#REF!</v>
      </c>
      <c r="H118" s="68" t="e">
        <f t="shared" si="15"/>
        <v>#REF!</v>
      </c>
      <c r="I118" s="69" t="e">
        <f t="shared" si="16"/>
        <v>#REF!</v>
      </c>
    </row>
    <row r="119" spans="1:9" x14ac:dyDescent="0.25">
      <c r="A119" s="2">
        <v>86</v>
      </c>
      <c r="B119" s="19" t="e">
        <f>VLOOKUP(A119,#REF!,2,FALSE)</f>
        <v>#REF!</v>
      </c>
      <c r="C119" s="20" t="e">
        <f>VLOOKUP(B119,#REF!,2,FALSE)</f>
        <v>#REF!</v>
      </c>
      <c r="D119" s="66" t="e">
        <f>SUMIF(#REF!,XXXXFinRep!B119,#REF!)</f>
        <v>#REF!</v>
      </c>
      <c r="E119" s="67" t="e">
        <f>SUMIF(#REF!,XXXXFinRep!B119,#REF!)+SUMIF(#REF!,XXXXFinRep!B119,#REF!)</f>
        <v>#REF!</v>
      </c>
      <c r="F119" s="67" t="e">
        <f>SUMIF(#REF!,XXXXFinRep!B119,#REF!)+SUMIF(#REF!,XXXXFinRep!B119,#REF!)</f>
        <v>#REF!</v>
      </c>
      <c r="G119" s="67" t="e">
        <f>SUMIF(#REF!,XXXXFinRep!B119,#REF!)+SUMIF(#REF!,XXXXFinRep!B119,#REF!)</f>
        <v>#REF!</v>
      </c>
      <c r="H119" s="68" t="e">
        <f t="shared" si="15"/>
        <v>#REF!</v>
      </c>
      <c r="I119" s="69" t="e">
        <f t="shared" si="16"/>
        <v>#REF!</v>
      </c>
    </row>
    <row r="120" spans="1:9" x14ac:dyDescent="0.25">
      <c r="A120" s="2">
        <v>87</v>
      </c>
      <c r="B120" s="19" t="e">
        <f>VLOOKUP(A120,#REF!,2,FALSE)</f>
        <v>#REF!</v>
      </c>
      <c r="C120" s="20" t="e">
        <f>VLOOKUP(B120,#REF!,2,FALSE)</f>
        <v>#REF!</v>
      </c>
      <c r="D120" s="66" t="e">
        <f>SUMIF(#REF!,XXXXFinRep!B120,#REF!)</f>
        <v>#REF!</v>
      </c>
      <c r="E120" s="67" t="e">
        <f>SUMIF(#REF!,XXXXFinRep!B120,#REF!)+SUMIF(#REF!,XXXXFinRep!B120,#REF!)</f>
        <v>#REF!</v>
      </c>
      <c r="F120" s="67" t="e">
        <f>SUMIF(#REF!,XXXXFinRep!B120,#REF!)+SUMIF(#REF!,XXXXFinRep!B120,#REF!)</f>
        <v>#REF!</v>
      </c>
      <c r="G120" s="67" t="e">
        <f>SUMIF(#REF!,XXXXFinRep!B120,#REF!)+SUMIF(#REF!,XXXXFinRep!B120,#REF!)</f>
        <v>#REF!</v>
      </c>
      <c r="H120" s="68" t="e">
        <f t="shared" si="15"/>
        <v>#REF!</v>
      </c>
      <c r="I120" s="69" t="e">
        <f t="shared" si="16"/>
        <v>#REF!</v>
      </c>
    </row>
    <row r="121" spans="1:9" x14ac:dyDescent="0.25">
      <c r="A121" s="2">
        <v>88</v>
      </c>
      <c r="B121" s="19" t="e">
        <f>VLOOKUP(A121,#REF!,2,FALSE)</f>
        <v>#REF!</v>
      </c>
      <c r="C121" s="20" t="e">
        <f>VLOOKUP(B121,#REF!,2,FALSE)</f>
        <v>#REF!</v>
      </c>
      <c r="D121" s="66" t="e">
        <f>SUMIF(#REF!,XXXXFinRep!B121,#REF!)</f>
        <v>#REF!</v>
      </c>
      <c r="E121" s="67" t="e">
        <f>SUMIF(#REF!,XXXXFinRep!B121,#REF!)+SUMIF(#REF!,XXXXFinRep!B121,#REF!)</f>
        <v>#REF!</v>
      </c>
      <c r="F121" s="67" t="e">
        <f>SUMIF(#REF!,XXXXFinRep!B121,#REF!)+SUMIF(#REF!,XXXXFinRep!B121,#REF!)</f>
        <v>#REF!</v>
      </c>
      <c r="G121" s="67" t="e">
        <f>SUMIF(#REF!,XXXXFinRep!B121,#REF!)+SUMIF(#REF!,XXXXFinRep!B121,#REF!)</f>
        <v>#REF!</v>
      </c>
      <c r="H121" s="68" t="e">
        <f t="shared" si="15"/>
        <v>#REF!</v>
      </c>
      <c r="I121" s="69" t="e">
        <f t="shared" si="16"/>
        <v>#REF!</v>
      </c>
    </row>
    <row r="122" spans="1:9" x14ac:dyDescent="0.25">
      <c r="A122" s="2">
        <v>89</v>
      </c>
      <c r="B122" s="19" t="e">
        <f>VLOOKUP(A122,#REF!,2,FALSE)</f>
        <v>#REF!</v>
      </c>
      <c r="C122" s="20" t="e">
        <f>VLOOKUP(B122,#REF!,2,FALSE)</f>
        <v>#REF!</v>
      </c>
      <c r="D122" s="66" t="e">
        <f>SUMIF(#REF!,XXXXFinRep!B122,#REF!)</f>
        <v>#REF!</v>
      </c>
      <c r="E122" s="67" t="e">
        <f>SUMIF(#REF!,XXXXFinRep!B122,#REF!)+SUMIF(#REF!,XXXXFinRep!B122,#REF!)</f>
        <v>#REF!</v>
      </c>
      <c r="F122" s="67" t="e">
        <f>SUMIF(#REF!,XXXXFinRep!B122,#REF!)+SUMIF(#REF!,XXXXFinRep!B122,#REF!)</f>
        <v>#REF!</v>
      </c>
      <c r="G122" s="67" t="e">
        <f>SUMIF(#REF!,XXXXFinRep!B122,#REF!)+SUMIF(#REF!,XXXXFinRep!B122,#REF!)</f>
        <v>#REF!</v>
      </c>
      <c r="H122" s="68" t="e">
        <f t="shared" si="15"/>
        <v>#REF!</v>
      </c>
      <c r="I122" s="69" t="e">
        <f t="shared" si="16"/>
        <v>#REF!</v>
      </c>
    </row>
    <row r="123" spans="1:9" x14ac:dyDescent="0.25">
      <c r="A123" s="2">
        <v>90</v>
      </c>
      <c r="B123" s="19" t="e">
        <f>VLOOKUP(A123,#REF!,2,FALSE)</f>
        <v>#REF!</v>
      </c>
      <c r="C123" s="20" t="e">
        <f>VLOOKUP(B123,#REF!,2,FALSE)</f>
        <v>#REF!</v>
      </c>
      <c r="D123" s="66" t="e">
        <f>SUMIF(#REF!,XXXXFinRep!B123,#REF!)</f>
        <v>#REF!</v>
      </c>
      <c r="E123" s="67" t="e">
        <f>SUMIF(#REF!,XXXXFinRep!B123,#REF!)+SUMIF(#REF!,XXXXFinRep!B123,#REF!)</f>
        <v>#REF!</v>
      </c>
      <c r="F123" s="67" t="e">
        <f>SUMIF(#REF!,XXXXFinRep!B123,#REF!)+SUMIF(#REF!,XXXXFinRep!B123,#REF!)</f>
        <v>#REF!</v>
      </c>
      <c r="G123" s="67" t="e">
        <f>SUMIF(#REF!,XXXXFinRep!B123,#REF!)+SUMIF(#REF!,XXXXFinRep!B123,#REF!)</f>
        <v>#REF!</v>
      </c>
      <c r="H123" s="68" t="e">
        <f t="shared" si="15"/>
        <v>#REF!</v>
      </c>
      <c r="I123" s="69" t="e">
        <f t="shared" si="16"/>
        <v>#REF!</v>
      </c>
    </row>
    <row r="124" spans="1:9" x14ac:dyDescent="0.25">
      <c r="B124" s="26" t="s">
        <v>138</v>
      </c>
      <c r="C124" s="28" t="s">
        <v>74</v>
      </c>
      <c r="D124" s="78" t="e">
        <f>SUM(D104:D123)</f>
        <v>#REF!</v>
      </c>
      <c r="E124" s="78" t="e">
        <f t="shared" ref="E124:I124" si="17">SUM(E104:E123)</f>
        <v>#REF!</v>
      </c>
      <c r="F124" s="78" t="e">
        <f t="shared" si="17"/>
        <v>#REF!</v>
      </c>
      <c r="G124" s="78" t="e">
        <f t="shared" si="17"/>
        <v>#REF!</v>
      </c>
      <c r="H124" s="78" t="e">
        <f t="shared" si="17"/>
        <v>#REF!</v>
      </c>
      <c r="I124" s="78" t="e">
        <f t="shared" si="17"/>
        <v>#REF!</v>
      </c>
    </row>
    <row r="125" spans="1:9" x14ac:dyDescent="0.25">
      <c r="B125" s="19"/>
      <c r="D125" s="66"/>
      <c r="E125" s="67"/>
      <c r="F125" s="67"/>
      <c r="G125" s="67"/>
      <c r="H125" s="68"/>
      <c r="I125" s="69"/>
    </row>
    <row r="126" spans="1:9" x14ac:dyDescent="0.25">
      <c r="B126" s="26">
        <v>5</v>
      </c>
      <c r="C126" s="27" t="e">
        <f>VLOOKUP(B126,#REF!,2,FALSE)</f>
        <v>#REF!</v>
      </c>
      <c r="D126" s="66"/>
      <c r="E126" s="67"/>
      <c r="F126" s="67"/>
      <c r="G126" s="67"/>
      <c r="H126" s="68"/>
      <c r="I126" s="69"/>
    </row>
    <row r="127" spans="1:9" x14ac:dyDescent="0.25">
      <c r="A127" s="2">
        <v>91</v>
      </c>
      <c r="B127" s="19" t="e">
        <f>VLOOKUP(A127,#REF!,2,FALSE)</f>
        <v>#REF!</v>
      </c>
      <c r="C127" s="20" t="e">
        <f>VLOOKUP(B127,#REF!,2,FALSE)</f>
        <v>#REF!</v>
      </c>
      <c r="D127" s="66" t="e">
        <f>SUMIF(#REF!,XXXXFinRep!B127,#REF!)</f>
        <v>#REF!</v>
      </c>
      <c r="E127" s="67" t="e">
        <f>SUMIF(#REF!,XXXXFinRep!B127,#REF!)+SUMIF(#REF!,XXXXFinRep!B127,#REF!)</f>
        <v>#REF!</v>
      </c>
      <c r="F127" s="67" t="e">
        <f>SUMIF(#REF!,XXXXFinRep!B127,#REF!)+SUMIF(#REF!,XXXXFinRep!B127,#REF!)</f>
        <v>#REF!</v>
      </c>
      <c r="G127" s="67" t="e">
        <f>SUMIF(#REF!,XXXXFinRep!B127,#REF!)+SUMIF(#REF!,XXXXFinRep!B127,#REF!)</f>
        <v>#REF!</v>
      </c>
      <c r="H127" s="68" t="e">
        <f t="shared" ref="H127:H146" si="18">SUM(E127,F127,G127)</f>
        <v>#REF!</v>
      </c>
      <c r="I127" s="69" t="e">
        <f t="shared" ref="I127:I146" si="19">SUM(D127-H127)</f>
        <v>#REF!</v>
      </c>
    </row>
    <row r="128" spans="1:9" x14ac:dyDescent="0.25">
      <c r="A128" s="2">
        <v>92</v>
      </c>
      <c r="B128" s="19" t="e">
        <f>VLOOKUP(A128,#REF!,2,FALSE)</f>
        <v>#REF!</v>
      </c>
      <c r="C128" s="20" t="e">
        <f>VLOOKUP(B128,#REF!,2,FALSE)</f>
        <v>#REF!</v>
      </c>
      <c r="D128" s="66" t="e">
        <f>SUMIF(#REF!,XXXXFinRep!B128,#REF!)</f>
        <v>#REF!</v>
      </c>
      <c r="E128" s="67" t="e">
        <f>SUMIF(#REF!,XXXXFinRep!B128,#REF!)+SUMIF(#REF!,XXXXFinRep!B128,#REF!)</f>
        <v>#REF!</v>
      </c>
      <c r="F128" s="67" t="e">
        <f>SUMIF(#REF!,XXXXFinRep!B128,#REF!)+SUMIF(#REF!,XXXXFinRep!B128,#REF!)</f>
        <v>#REF!</v>
      </c>
      <c r="G128" s="67" t="e">
        <f>SUMIF(#REF!,XXXXFinRep!B128,#REF!)+SUMIF(#REF!,XXXXFinRep!B128,#REF!)</f>
        <v>#REF!</v>
      </c>
      <c r="H128" s="68" t="e">
        <f t="shared" si="18"/>
        <v>#REF!</v>
      </c>
      <c r="I128" s="69" t="e">
        <f t="shared" si="19"/>
        <v>#REF!</v>
      </c>
    </row>
    <row r="129" spans="1:9" x14ac:dyDescent="0.25">
      <c r="A129" s="2">
        <v>93</v>
      </c>
      <c r="B129" s="19" t="e">
        <f>VLOOKUP(A129,#REF!,2,FALSE)</f>
        <v>#REF!</v>
      </c>
      <c r="C129" s="20" t="e">
        <f>VLOOKUP(B129,#REF!,2,FALSE)</f>
        <v>#REF!</v>
      </c>
      <c r="D129" s="66" t="e">
        <f>SUMIF(#REF!,XXXXFinRep!B129,#REF!)</f>
        <v>#REF!</v>
      </c>
      <c r="E129" s="67" t="e">
        <f>SUMIF(#REF!,XXXXFinRep!B129,#REF!)+SUMIF(#REF!,XXXXFinRep!B129,#REF!)</f>
        <v>#REF!</v>
      </c>
      <c r="F129" s="67" t="e">
        <f>SUMIF(#REF!,XXXXFinRep!B129,#REF!)+SUMIF(#REF!,XXXXFinRep!B129,#REF!)</f>
        <v>#REF!</v>
      </c>
      <c r="G129" s="67" t="e">
        <f>SUMIF(#REF!,XXXXFinRep!B129,#REF!)+SUMIF(#REF!,XXXXFinRep!B129,#REF!)</f>
        <v>#REF!</v>
      </c>
      <c r="H129" s="68" t="e">
        <f t="shared" si="18"/>
        <v>#REF!</v>
      </c>
      <c r="I129" s="69" t="e">
        <f t="shared" si="19"/>
        <v>#REF!</v>
      </c>
    </row>
    <row r="130" spans="1:9" x14ac:dyDescent="0.25">
      <c r="A130" s="2">
        <v>94</v>
      </c>
      <c r="B130" s="19" t="e">
        <f>VLOOKUP(A130,#REF!,2,FALSE)</f>
        <v>#REF!</v>
      </c>
      <c r="C130" s="20" t="e">
        <f>VLOOKUP(B130,#REF!,2,FALSE)</f>
        <v>#REF!</v>
      </c>
      <c r="D130" s="66" t="e">
        <f>SUMIF(#REF!,XXXXFinRep!B130,#REF!)</f>
        <v>#REF!</v>
      </c>
      <c r="E130" s="67" t="e">
        <f>SUMIF(#REF!,XXXXFinRep!B130,#REF!)+SUMIF(#REF!,XXXXFinRep!B130,#REF!)</f>
        <v>#REF!</v>
      </c>
      <c r="F130" s="67" t="e">
        <f>SUMIF(#REF!,XXXXFinRep!B130,#REF!)+SUMIF(#REF!,XXXXFinRep!B130,#REF!)</f>
        <v>#REF!</v>
      </c>
      <c r="G130" s="67" t="e">
        <f>SUMIF(#REF!,XXXXFinRep!B130,#REF!)+SUMIF(#REF!,XXXXFinRep!B130,#REF!)</f>
        <v>#REF!</v>
      </c>
      <c r="H130" s="68" t="e">
        <f t="shared" si="18"/>
        <v>#REF!</v>
      </c>
      <c r="I130" s="69" t="e">
        <f t="shared" si="19"/>
        <v>#REF!</v>
      </c>
    </row>
    <row r="131" spans="1:9" x14ac:dyDescent="0.25">
      <c r="A131" s="2">
        <v>95</v>
      </c>
      <c r="B131" s="19" t="e">
        <f>VLOOKUP(A131,#REF!,2,FALSE)</f>
        <v>#REF!</v>
      </c>
      <c r="C131" s="20" t="e">
        <f>VLOOKUP(B131,#REF!,2,FALSE)</f>
        <v>#REF!</v>
      </c>
      <c r="D131" s="66" t="e">
        <f>SUMIF(#REF!,XXXXFinRep!B131,#REF!)</f>
        <v>#REF!</v>
      </c>
      <c r="E131" s="67" t="e">
        <f>SUMIF(#REF!,XXXXFinRep!B131,#REF!)+SUMIF(#REF!,XXXXFinRep!B131,#REF!)</f>
        <v>#REF!</v>
      </c>
      <c r="F131" s="67" t="e">
        <f>SUMIF(#REF!,XXXXFinRep!B131,#REF!)+SUMIF(#REF!,XXXXFinRep!B131,#REF!)</f>
        <v>#REF!</v>
      </c>
      <c r="G131" s="67" t="e">
        <f>SUMIF(#REF!,XXXXFinRep!B131,#REF!)+SUMIF(#REF!,XXXXFinRep!B131,#REF!)</f>
        <v>#REF!</v>
      </c>
      <c r="H131" s="68" t="e">
        <f t="shared" si="18"/>
        <v>#REF!</v>
      </c>
      <c r="I131" s="69" t="e">
        <f t="shared" si="19"/>
        <v>#REF!</v>
      </c>
    </row>
    <row r="132" spans="1:9" x14ac:dyDescent="0.25">
      <c r="A132" s="2">
        <v>96</v>
      </c>
      <c r="B132" s="19" t="e">
        <f>VLOOKUP(A132,#REF!,2,FALSE)</f>
        <v>#REF!</v>
      </c>
      <c r="C132" s="20" t="e">
        <f>VLOOKUP(B132,#REF!,2,FALSE)</f>
        <v>#REF!</v>
      </c>
      <c r="D132" s="66" t="e">
        <f>SUMIF(#REF!,XXXXFinRep!B132,#REF!)</f>
        <v>#REF!</v>
      </c>
      <c r="E132" s="67" t="e">
        <f>SUMIF(#REF!,XXXXFinRep!B132,#REF!)+SUMIF(#REF!,XXXXFinRep!B132,#REF!)</f>
        <v>#REF!</v>
      </c>
      <c r="F132" s="67" t="e">
        <f>SUMIF(#REF!,XXXXFinRep!B132,#REF!)+SUMIF(#REF!,XXXXFinRep!B132,#REF!)</f>
        <v>#REF!</v>
      </c>
      <c r="G132" s="67" t="e">
        <f>SUMIF(#REF!,XXXXFinRep!B132,#REF!)+SUMIF(#REF!,XXXXFinRep!B132,#REF!)</f>
        <v>#REF!</v>
      </c>
      <c r="H132" s="68" t="e">
        <f t="shared" si="18"/>
        <v>#REF!</v>
      </c>
      <c r="I132" s="69" t="e">
        <f t="shared" si="19"/>
        <v>#REF!</v>
      </c>
    </row>
    <row r="133" spans="1:9" x14ac:dyDescent="0.25">
      <c r="A133" s="2">
        <v>97</v>
      </c>
      <c r="B133" s="19" t="e">
        <f>VLOOKUP(A133,#REF!,2,FALSE)</f>
        <v>#REF!</v>
      </c>
      <c r="C133" s="20" t="e">
        <f>VLOOKUP(B133,#REF!,2,FALSE)</f>
        <v>#REF!</v>
      </c>
      <c r="D133" s="66" t="e">
        <f>SUMIF(#REF!,XXXXFinRep!B133,#REF!)</f>
        <v>#REF!</v>
      </c>
      <c r="E133" s="67" t="e">
        <f>SUMIF(#REF!,XXXXFinRep!B133,#REF!)+SUMIF(#REF!,XXXXFinRep!B133,#REF!)</f>
        <v>#REF!</v>
      </c>
      <c r="F133" s="67" t="e">
        <f>SUMIF(#REF!,XXXXFinRep!B133,#REF!)+SUMIF(#REF!,XXXXFinRep!B133,#REF!)</f>
        <v>#REF!</v>
      </c>
      <c r="G133" s="67" t="e">
        <f>SUMIF(#REF!,XXXXFinRep!B133,#REF!)+SUMIF(#REF!,XXXXFinRep!B133,#REF!)</f>
        <v>#REF!</v>
      </c>
      <c r="H133" s="68" t="e">
        <f t="shared" si="18"/>
        <v>#REF!</v>
      </c>
      <c r="I133" s="69" t="e">
        <f t="shared" si="19"/>
        <v>#REF!</v>
      </c>
    </row>
    <row r="134" spans="1:9" x14ac:dyDescent="0.25">
      <c r="A134" s="2">
        <v>98</v>
      </c>
      <c r="B134" s="19" t="e">
        <f>VLOOKUP(A134,#REF!,2,FALSE)</f>
        <v>#REF!</v>
      </c>
      <c r="C134" s="20" t="e">
        <f>VLOOKUP(B134,#REF!,2,FALSE)</f>
        <v>#REF!</v>
      </c>
      <c r="D134" s="66" t="e">
        <f>SUMIF(#REF!,XXXXFinRep!B134,#REF!)</f>
        <v>#REF!</v>
      </c>
      <c r="E134" s="67" t="e">
        <f>SUMIF(#REF!,XXXXFinRep!B134,#REF!)+SUMIF(#REF!,XXXXFinRep!B134,#REF!)</f>
        <v>#REF!</v>
      </c>
      <c r="F134" s="67" t="e">
        <f>SUMIF(#REF!,XXXXFinRep!B134,#REF!)+SUMIF(#REF!,XXXXFinRep!B134,#REF!)</f>
        <v>#REF!</v>
      </c>
      <c r="G134" s="67" t="e">
        <f>SUMIF(#REF!,XXXXFinRep!B134,#REF!)+SUMIF(#REF!,XXXXFinRep!B134,#REF!)</f>
        <v>#REF!</v>
      </c>
      <c r="H134" s="68" t="e">
        <f t="shared" si="18"/>
        <v>#REF!</v>
      </c>
      <c r="I134" s="69" t="e">
        <f t="shared" si="19"/>
        <v>#REF!</v>
      </c>
    </row>
    <row r="135" spans="1:9" x14ac:dyDescent="0.25">
      <c r="A135" s="2">
        <v>99</v>
      </c>
      <c r="B135" s="19" t="e">
        <f>VLOOKUP(A135,#REF!,2,FALSE)</f>
        <v>#REF!</v>
      </c>
      <c r="C135" s="20" t="e">
        <f>VLOOKUP(B135,#REF!,2,FALSE)</f>
        <v>#REF!</v>
      </c>
      <c r="D135" s="66" t="e">
        <f>SUMIF(#REF!,XXXXFinRep!B135,#REF!)</f>
        <v>#REF!</v>
      </c>
      <c r="E135" s="67" t="e">
        <f>SUMIF(#REF!,XXXXFinRep!B135,#REF!)+SUMIF(#REF!,XXXXFinRep!B135,#REF!)</f>
        <v>#REF!</v>
      </c>
      <c r="F135" s="67" t="e">
        <f>SUMIF(#REF!,XXXXFinRep!B135,#REF!)+SUMIF(#REF!,XXXXFinRep!B135,#REF!)</f>
        <v>#REF!</v>
      </c>
      <c r="G135" s="67" t="e">
        <f>SUMIF(#REF!,XXXXFinRep!B135,#REF!)+SUMIF(#REF!,XXXXFinRep!B135,#REF!)</f>
        <v>#REF!</v>
      </c>
      <c r="H135" s="68" t="e">
        <f t="shared" si="18"/>
        <v>#REF!</v>
      </c>
      <c r="I135" s="69" t="e">
        <f t="shared" si="19"/>
        <v>#REF!</v>
      </c>
    </row>
    <row r="136" spans="1:9" x14ac:dyDescent="0.25">
      <c r="A136" s="2">
        <v>100</v>
      </c>
      <c r="B136" s="19" t="e">
        <f>VLOOKUP(A136,#REF!,2,FALSE)</f>
        <v>#REF!</v>
      </c>
      <c r="C136" s="20" t="e">
        <f>VLOOKUP(B136,#REF!,2,FALSE)</f>
        <v>#REF!</v>
      </c>
      <c r="D136" s="66" t="e">
        <f>SUMIF(#REF!,XXXXFinRep!B136,#REF!)</f>
        <v>#REF!</v>
      </c>
      <c r="E136" s="67" t="e">
        <f>SUMIF(#REF!,XXXXFinRep!B136,#REF!)+SUMIF(#REF!,XXXXFinRep!B136,#REF!)</f>
        <v>#REF!</v>
      </c>
      <c r="F136" s="67" t="e">
        <f>SUMIF(#REF!,XXXXFinRep!B136,#REF!)+SUMIF(#REF!,XXXXFinRep!B136,#REF!)</f>
        <v>#REF!</v>
      </c>
      <c r="G136" s="67" t="e">
        <f>SUMIF(#REF!,XXXXFinRep!B136,#REF!)+SUMIF(#REF!,XXXXFinRep!B136,#REF!)</f>
        <v>#REF!</v>
      </c>
      <c r="H136" s="68" t="e">
        <f t="shared" si="18"/>
        <v>#REF!</v>
      </c>
      <c r="I136" s="69" t="e">
        <f t="shared" si="19"/>
        <v>#REF!</v>
      </c>
    </row>
    <row r="137" spans="1:9" x14ac:dyDescent="0.25">
      <c r="A137" s="2">
        <v>101</v>
      </c>
      <c r="B137" s="19" t="e">
        <f>VLOOKUP(A137,#REF!,2,FALSE)</f>
        <v>#REF!</v>
      </c>
      <c r="C137" s="20" t="e">
        <f>VLOOKUP(B137,#REF!,2,FALSE)</f>
        <v>#REF!</v>
      </c>
      <c r="D137" s="66" t="e">
        <f>SUMIF(#REF!,XXXXFinRep!B137,#REF!)</f>
        <v>#REF!</v>
      </c>
      <c r="E137" s="67" t="e">
        <f>SUMIF(#REF!,XXXXFinRep!B137,#REF!)+SUMIF(#REF!,XXXXFinRep!B137,#REF!)</f>
        <v>#REF!</v>
      </c>
      <c r="F137" s="67" t="e">
        <f>SUMIF(#REF!,XXXXFinRep!B137,#REF!)+SUMIF(#REF!,XXXXFinRep!B137,#REF!)</f>
        <v>#REF!</v>
      </c>
      <c r="G137" s="67" t="e">
        <f>SUMIF(#REF!,XXXXFinRep!B137,#REF!)+SUMIF(#REF!,XXXXFinRep!B137,#REF!)</f>
        <v>#REF!</v>
      </c>
      <c r="H137" s="68" t="e">
        <f t="shared" si="18"/>
        <v>#REF!</v>
      </c>
      <c r="I137" s="69" t="e">
        <f t="shared" si="19"/>
        <v>#REF!</v>
      </c>
    </row>
    <row r="138" spans="1:9" x14ac:dyDescent="0.25">
      <c r="A138" s="2">
        <v>102</v>
      </c>
      <c r="B138" s="19" t="e">
        <f>VLOOKUP(A138,#REF!,2,FALSE)</f>
        <v>#REF!</v>
      </c>
      <c r="C138" s="20" t="e">
        <f>VLOOKUP(B138,#REF!,2,FALSE)</f>
        <v>#REF!</v>
      </c>
      <c r="D138" s="66" t="e">
        <f>SUMIF(#REF!,XXXXFinRep!B138,#REF!)</f>
        <v>#REF!</v>
      </c>
      <c r="E138" s="67" t="e">
        <f>SUMIF(#REF!,XXXXFinRep!B138,#REF!)+SUMIF(#REF!,XXXXFinRep!B138,#REF!)</f>
        <v>#REF!</v>
      </c>
      <c r="F138" s="67" t="e">
        <f>SUMIF(#REF!,XXXXFinRep!B138,#REF!)+SUMIF(#REF!,XXXXFinRep!B138,#REF!)</f>
        <v>#REF!</v>
      </c>
      <c r="G138" s="67" t="e">
        <f>SUMIF(#REF!,XXXXFinRep!B138,#REF!)+SUMIF(#REF!,XXXXFinRep!B138,#REF!)</f>
        <v>#REF!</v>
      </c>
      <c r="H138" s="68" t="e">
        <f t="shared" si="18"/>
        <v>#REF!</v>
      </c>
      <c r="I138" s="69" t="e">
        <f t="shared" si="19"/>
        <v>#REF!</v>
      </c>
    </row>
    <row r="139" spans="1:9" x14ac:dyDescent="0.25">
      <c r="A139" s="2">
        <v>103</v>
      </c>
      <c r="B139" s="19" t="e">
        <f>VLOOKUP(A139,#REF!,2,FALSE)</f>
        <v>#REF!</v>
      </c>
      <c r="C139" s="20" t="e">
        <f>VLOOKUP(B139,#REF!,2,FALSE)</f>
        <v>#REF!</v>
      </c>
      <c r="D139" s="66" t="e">
        <f>SUMIF(#REF!,XXXXFinRep!B139,#REF!)</f>
        <v>#REF!</v>
      </c>
      <c r="E139" s="67" t="e">
        <f>SUMIF(#REF!,XXXXFinRep!B139,#REF!)+SUMIF(#REF!,XXXXFinRep!B139,#REF!)</f>
        <v>#REF!</v>
      </c>
      <c r="F139" s="67" t="e">
        <f>SUMIF(#REF!,XXXXFinRep!B139,#REF!)+SUMIF(#REF!,XXXXFinRep!B139,#REF!)</f>
        <v>#REF!</v>
      </c>
      <c r="G139" s="67" t="e">
        <f>SUMIF(#REF!,XXXXFinRep!B139,#REF!)+SUMIF(#REF!,XXXXFinRep!B139,#REF!)</f>
        <v>#REF!</v>
      </c>
      <c r="H139" s="68" t="e">
        <f t="shared" si="18"/>
        <v>#REF!</v>
      </c>
      <c r="I139" s="69" t="e">
        <f t="shared" si="19"/>
        <v>#REF!</v>
      </c>
    </row>
    <row r="140" spans="1:9" x14ac:dyDescent="0.25">
      <c r="A140" s="2">
        <v>104</v>
      </c>
      <c r="B140" s="19" t="e">
        <f>VLOOKUP(A140,#REF!,2,FALSE)</f>
        <v>#REF!</v>
      </c>
      <c r="C140" s="20" t="e">
        <f>VLOOKUP(B140,#REF!,2,FALSE)</f>
        <v>#REF!</v>
      </c>
      <c r="D140" s="66" t="e">
        <f>SUMIF(#REF!,XXXXFinRep!B140,#REF!)</f>
        <v>#REF!</v>
      </c>
      <c r="E140" s="67" t="e">
        <f>SUMIF(#REF!,XXXXFinRep!B140,#REF!)+SUMIF(#REF!,XXXXFinRep!B140,#REF!)</f>
        <v>#REF!</v>
      </c>
      <c r="F140" s="67" t="e">
        <f>SUMIF(#REF!,XXXXFinRep!B140,#REF!)+SUMIF(#REF!,XXXXFinRep!B140,#REF!)</f>
        <v>#REF!</v>
      </c>
      <c r="G140" s="67" t="e">
        <f>SUMIF(#REF!,XXXXFinRep!B140,#REF!)+SUMIF(#REF!,XXXXFinRep!B140,#REF!)</f>
        <v>#REF!</v>
      </c>
      <c r="H140" s="68" t="e">
        <f t="shared" si="18"/>
        <v>#REF!</v>
      </c>
      <c r="I140" s="69" t="e">
        <f t="shared" si="19"/>
        <v>#REF!</v>
      </c>
    </row>
    <row r="141" spans="1:9" x14ac:dyDescent="0.25">
      <c r="A141" s="2">
        <v>105</v>
      </c>
      <c r="B141" s="19" t="e">
        <f>VLOOKUP(A141,#REF!,2,FALSE)</f>
        <v>#REF!</v>
      </c>
      <c r="C141" s="20" t="e">
        <f>VLOOKUP(B141,#REF!,2,FALSE)</f>
        <v>#REF!</v>
      </c>
      <c r="D141" s="66" t="e">
        <f>SUMIF(#REF!,XXXXFinRep!B141,#REF!)</f>
        <v>#REF!</v>
      </c>
      <c r="E141" s="67" t="e">
        <f>SUMIF(#REF!,XXXXFinRep!B141,#REF!)+SUMIF(#REF!,XXXXFinRep!B141,#REF!)</f>
        <v>#REF!</v>
      </c>
      <c r="F141" s="67" t="e">
        <f>SUMIF(#REF!,XXXXFinRep!B141,#REF!)+SUMIF(#REF!,XXXXFinRep!B141,#REF!)</f>
        <v>#REF!</v>
      </c>
      <c r="G141" s="67" t="e">
        <f>SUMIF(#REF!,XXXXFinRep!B141,#REF!)+SUMIF(#REF!,XXXXFinRep!B141,#REF!)</f>
        <v>#REF!</v>
      </c>
      <c r="H141" s="68" t="e">
        <f t="shared" si="18"/>
        <v>#REF!</v>
      </c>
      <c r="I141" s="69" t="e">
        <f t="shared" si="19"/>
        <v>#REF!</v>
      </c>
    </row>
    <row r="142" spans="1:9" x14ac:dyDescent="0.25">
      <c r="A142" s="2">
        <v>106</v>
      </c>
      <c r="B142" s="19" t="e">
        <f>VLOOKUP(A142,#REF!,2,FALSE)</f>
        <v>#REF!</v>
      </c>
      <c r="C142" s="20" t="e">
        <f>VLOOKUP(B142,#REF!,2,FALSE)</f>
        <v>#REF!</v>
      </c>
      <c r="D142" s="66" t="e">
        <f>SUMIF(#REF!,XXXXFinRep!B142,#REF!)</f>
        <v>#REF!</v>
      </c>
      <c r="E142" s="67" t="e">
        <f>SUMIF(#REF!,XXXXFinRep!B142,#REF!)+SUMIF(#REF!,XXXXFinRep!B142,#REF!)</f>
        <v>#REF!</v>
      </c>
      <c r="F142" s="67" t="e">
        <f>SUMIF(#REF!,XXXXFinRep!B142,#REF!)+SUMIF(#REF!,XXXXFinRep!B142,#REF!)</f>
        <v>#REF!</v>
      </c>
      <c r="G142" s="67" t="e">
        <f>SUMIF(#REF!,XXXXFinRep!B142,#REF!)+SUMIF(#REF!,XXXXFinRep!B142,#REF!)</f>
        <v>#REF!</v>
      </c>
      <c r="H142" s="68" t="e">
        <f t="shared" si="18"/>
        <v>#REF!</v>
      </c>
      <c r="I142" s="69" t="e">
        <f t="shared" si="19"/>
        <v>#REF!</v>
      </c>
    </row>
    <row r="143" spans="1:9" x14ac:dyDescent="0.25">
      <c r="A143" s="2">
        <v>107</v>
      </c>
      <c r="B143" s="19" t="e">
        <f>VLOOKUP(A143,#REF!,2,FALSE)</f>
        <v>#REF!</v>
      </c>
      <c r="C143" s="20" t="e">
        <f>VLOOKUP(B143,#REF!,2,FALSE)</f>
        <v>#REF!</v>
      </c>
      <c r="D143" s="66" t="e">
        <f>SUMIF(#REF!,XXXXFinRep!B143,#REF!)</f>
        <v>#REF!</v>
      </c>
      <c r="E143" s="67" t="e">
        <f>SUMIF(#REF!,XXXXFinRep!B143,#REF!)+SUMIF(#REF!,XXXXFinRep!B143,#REF!)</f>
        <v>#REF!</v>
      </c>
      <c r="F143" s="67" t="e">
        <f>SUMIF(#REF!,XXXXFinRep!B143,#REF!)+SUMIF(#REF!,XXXXFinRep!B143,#REF!)</f>
        <v>#REF!</v>
      </c>
      <c r="G143" s="67" t="e">
        <f>SUMIF(#REF!,XXXXFinRep!B143,#REF!)+SUMIF(#REF!,XXXXFinRep!B143,#REF!)</f>
        <v>#REF!</v>
      </c>
      <c r="H143" s="68" t="e">
        <f t="shared" si="18"/>
        <v>#REF!</v>
      </c>
      <c r="I143" s="69" t="e">
        <f t="shared" si="19"/>
        <v>#REF!</v>
      </c>
    </row>
    <row r="144" spans="1:9" x14ac:dyDescent="0.25">
      <c r="A144" s="2">
        <v>108</v>
      </c>
      <c r="B144" s="19" t="e">
        <f>VLOOKUP(A144,#REF!,2,FALSE)</f>
        <v>#REF!</v>
      </c>
      <c r="C144" s="20" t="e">
        <f>VLOOKUP(B144,#REF!,2,FALSE)</f>
        <v>#REF!</v>
      </c>
      <c r="D144" s="66" t="e">
        <f>SUMIF(#REF!,XXXXFinRep!B144,#REF!)</f>
        <v>#REF!</v>
      </c>
      <c r="E144" s="67" t="e">
        <f>SUMIF(#REF!,XXXXFinRep!B144,#REF!)+SUMIF(#REF!,XXXXFinRep!B144,#REF!)</f>
        <v>#REF!</v>
      </c>
      <c r="F144" s="67" t="e">
        <f>SUMIF(#REF!,XXXXFinRep!B144,#REF!)+SUMIF(#REF!,XXXXFinRep!B144,#REF!)</f>
        <v>#REF!</v>
      </c>
      <c r="G144" s="67" t="e">
        <f>SUMIF(#REF!,XXXXFinRep!B144,#REF!)+SUMIF(#REF!,XXXXFinRep!B144,#REF!)</f>
        <v>#REF!</v>
      </c>
      <c r="H144" s="68" t="e">
        <f t="shared" si="18"/>
        <v>#REF!</v>
      </c>
      <c r="I144" s="69" t="e">
        <f t="shared" si="19"/>
        <v>#REF!</v>
      </c>
    </row>
    <row r="145" spans="1:9" x14ac:dyDescent="0.25">
      <c r="A145" s="2">
        <v>109</v>
      </c>
      <c r="B145" s="19" t="e">
        <f>VLOOKUP(A145,#REF!,2,FALSE)</f>
        <v>#REF!</v>
      </c>
      <c r="C145" s="20" t="e">
        <f>VLOOKUP(B145,#REF!,2,FALSE)</f>
        <v>#REF!</v>
      </c>
      <c r="D145" s="66" t="e">
        <f>SUMIF(#REF!,XXXXFinRep!B145,#REF!)</f>
        <v>#REF!</v>
      </c>
      <c r="E145" s="67" t="e">
        <f>SUMIF(#REF!,XXXXFinRep!B145,#REF!)+SUMIF(#REF!,XXXXFinRep!B145,#REF!)</f>
        <v>#REF!</v>
      </c>
      <c r="F145" s="67" t="e">
        <f>SUMIF(#REF!,XXXXFinRep!B145,#REF!)+SUMIF(#REF!,XXXXFinRep!B145,#REF!)</f>
        <v>#REF!</v>
      </c>
      <c r="G145" s="67" t="e">
        <f>SUMIF(#REF!,XXXXFinRep!B145,#REF!)+SUMIF(#REF!,XXXXFinRep!B145,#REF!)</f>
        <v>#REF!</v>
      </c>
      <c r="H145" s="68" t="e">
        <f t="shared" si="18"/>
        <v>#REF!</v>
      </c>
      <c r="I145" s="69" t="e">
        <f t="shared" si="19"/>
        <v>#REF!</v>
      </c>
    </row>
    <row r="146" spans="1:9" x14ac:dyDescent="0.25">
      <c r="A146" s="2">
        <v>110</v>
      </c>
      <c r="B146" s="19" t="e">
        <f>VLOOKUP(A146,#REF!,2,FALSE)</f>
        <v>#REF!</v>
      </c>
      <c r="C146" s="20" t="e">
        <f>VLOOKUP(B146,#REF!,2,FALSE)</f>
        <v>#REF!</v>
      </c>
      <c r="D146" s="66" t="e">
        <f>SUMIF(#REF!,XXXXFinRep!B146,#REF!)</f>
        <v>#REF!</v>
      </c>
      <c r="E146" s="67" t="e">
        <f>SUMIF(#REF!,XXXXFinRep!B146,#REF!)+SUMIF(#REF!,XXXXFinRep!B146,#REF!)</f>
        <v>#REF!</v>
      </c>
      <c r="F146" s="67" t="e">
        <f>SUMIF(#REF!,XXXXFinRep!B146,#REF!)+SUMIF(#REF!,XXXXFinRep!B146,#REF!)</f>
        <v>#REF!</v>
      </c>
      <c r="G146" s="67" t="e">
        <f>SUMIF(#REF!,XXXXFinRep!B146,#REF!)+SUMIF(#REF!,XXXXFinRep!B146,#REF!)</f>
        <v>#REF!</v>
      </c>
      <c r="H146" s="68" t="e">
        <f t="shared" si="18"/>
        <v>#REF!</v>
      </c>
      <c r="I146" s="69" t="e">
        <f t="shared" si="19"/>
        <v>#REF!</v>
      </c>
    </row>
    <row r="147" spans="1:9" x14ac:dyDescent="0.25">
      <c r="B147" s="26" t="s">
        <v>139</v>
      </c>
      <c r="C147" s="28" t="s">
        <v>78</v>
      </c>
      <c r="D147" s="78" t="e">
        <f>SUM(D127:D146)</f>
        <v>#REF!</v>
      </c>
      <c r="E147" s="78" t="e">
        <f t="shared" ref="E147:I147" si="20">SUM(E127:E146)</f>
        <v>#REF!</v>
      </c>
      <c r="F147" s="78" t="e">
        <f t="shared" si="20"/>
        <v>#REF!</v>
      </c>
      <c r="G147" s="78" t="e">
        <f t="shared" si="20"/>
        <v>#REF!</v>
      </c>
      <c r="H147" s="78" t="e">
        <f t="shared" si="20"/>
        <v>#REF!</v>
      </c>
      <c r="I147" s="78" t="e">
        <f t="shared" si="20"/>
        <v>#REF!</v>
      </c>
    </row>
    <row r="148" spans="1:9" ht="13.8" thickBot="1" x14ac:dyDescent="0.3">
      <c r="B148" s="19"/>
      <c r="D148" s="66"/>
      <c r="E148" s="75"/>
      <c r="F148" s="75"/>
      <c r="G148" s="75"/>
      <c r="H148" s="76"/>
      <c r="I148" s="77"/>
    </row>
    <row r="149" spans="1:9" ht="13.8" thickBot="1" x14ac:dyDescent="0.3">
      <c r="B149" s="19"/>
      <c r="C149" s="22" t="s">
        <v>81</v>
      </c>
      <c r="D149" s="70" t="e">
        <f>SUM(D147,D124,D101,D78,D55)</f>
        <v>#REF!</v>
      </c>
      <c r="E149" s="70" t="e">
        <f t="shared" ref="E149:I149" si="21">SUM(E147,E124,E101,E78,E55)</f>
        <v>#REF!</v>
      </c>
      <c r="F149" s="70" t="e">
        <f t="shared" si="21"/>
        <v>#REF!</v>
      </c>
      <c r="G149" s="70" t="e">
        <f t="shared" si="21"/>
        <v>#REF!</v>
      </c>
      <c r="H149" s="70" t="e">
        <f t="shared" si="21"/>
        <v>#REF!</v>
      </c>
      <c r="I149" s="70" t="e">
        <f t="shared" si="21"/>
        <v>#REF!</v>
      </c>
    </row>
    <row r="150" spans="1:9" x14ac:dyDescent="0.25">
      <c r="B150" s="19"/>
      <c r="D150" s="66"/>
      <c r="E150" s="67"/>
      <c r="F150" s="67"/>
      <c r="G150" s="67"/>
      <c r="H150" s="68"/>
      <c r="I150" s="69"/>
    </row>
    <row r="151" spans="1:9" x14ac:dyDescent="0.25">
      <c r="B151" s="24" t="s">
        <v>82</v>
      </c>
      <c r="C151" s="25"/>
      <c r="D151" s="66"/>
      <c r="E151" s="67"/>
      <c r="F151" s="67"/>
      <c r="G151" s="67"/>
      <c r="H151" s="68"/>
      <c r="I151" s="69"/>
    </row>
    <row r="152" spans="1:9" x14ac:dyDescent="0.25">
      <c r="B152" s="26">
        <v>1</v>
      </c>
      <c r="C152" s="27" t="s">
        <v>19</v>
      </c>
      <c r="D152" s="66"/>
      <c r="E152" s="67"/>
      <c r="F152" s="67"/>
      <c r="G152" s="67"/>
      <c r="H152" s="68"/>
      <c r="I152" s="69"/>
    </row>
    <row r="153" spans="1:9" x14ac:dyDescent="0.25">
      <c r="A153" s="2">
        <v>111</v>
      </c>
      <c r="B153" s="19" t="e">
        <f>VLOOKUP(A153,#REF!,2,FALSE)</f>
        <v>#REF!</v>
      </c>
      <c r="C153" s="20" t="e">
        <f>VLOOKUP(B153,#REF!,2,FALSE)</f>
        <v>#REF!</v>
      </c>
      <c r="D153" s="66" t="e">
        <f>SUMIF(#REF!,XXXXFinRep!B153,#REF!)</f>
        <v>#REF!</v>
      </c>
      <c r="E153" s="67" t="e">
        <f>SUMIF(#REF!,XXXXFinRep!B153,#REF!)+SUMIF(#REF!,XXXXFinRep!B153,#REF!)</f>
        <v>#REF!</v>
      </c>
      <c r="F153" s="67" t="e">
        <f>SUMIF(#REF!,XXXXFinRep!B153,#REF!)+SUMIF(#REF!,XXXXFinRep!B153,#REF!)</f>
        <v>#REF!</v>
      </c>
      <c r="G153" s="67" t="e">
        <f>SUMIF(#REF!,XXXXFinRep!B153,#REF!)+SUMIF(#REF!,XXXXFinRep!B153,#REF!)</f>
        <v>#REF!</v>
      </c>
      <c r="H153" s="68" t="e">
        <f t="shared" ref="H153:H162" si="22">SUM(E153,F153,G153)</f>
        <v>#REF!</v>
      </c>
      <c r="I153" s="69" t="e">
        <f t="shared" ref="I153:I162" si="23">SUM(D153-H153)</f>
        <v>#REF!</v>
      </c>
    </row>
    <row r="154" spans="1:9" x14ac:dyDescent="0.25">
      <c r="A154" s="2">
        <v>112</v>
      </c>
      <c r="B154" s="19" t="e">
        <f>VLOOKUP(A154,#REF!,2,FALSE)</f>
        <v>#REF!</v>
      </c>
      <c r="C154" s="20" t="e">
        <f>VLOOKUP(B154,#REF!,2,FALSE)</f>
        <v>#REF!</v>
      </c>
      <c r="D154" s="66" t="e">
        <f>SUMIF(#REF!,XXXXFinRep!B154,#REF!)</f>
        <v>#REF!</v>
      </c>
      <c r="E154" s="67" t="e">
        <f>SUMIF(#REF!,XXXXFinRep!B154,#REF!)+SUMIF(#REF!,XXXXFinRep!B154,#REF!)</f>
        <v>#REF!</v>
      </c>
      <c r="F154" s="67" t="e">
        <f>SUMIF(#REF!,XXXXFinRep!B154,#REF!)+SUMIF(#REF!,XXXXFinRep!B154,#REF!)</f>
        <v>#REF!</v>
      </c>
      <c r="G154" s="67" t="e">
        <f>SUMIF(#REF!,XXXXFinRep!B154,#REF!)+SUMIF(#REF!,XXXXFinRep!B154,#REF!)</f>
        <v>#REF!</v>
      </c>
      <c r="H154" s="68" t="e">
        <f t="shared" si="22"/>
        <v>#REF!</v>
      </c>
      <c r="I154" s="69" t="e">
        <f t="shared" si="23"/>
        <v>#REF!</v>
      </c>
    </row>
    <row r="155" spans="1:9" x14ac:dyDescent="0.25">
      <c r="A155" s="2">
        <v>113</v>
      </c>
      <c r="B155" s="19" t="e">
        <f>VLOOKUP(A155,#REF!,2,FALSE)</f>
        <v>#REF!</v>
      </c>
      <c r="C155" s="20" t="e">
        <f>VLOOKUP(B155,#REF!,2,FALSE)</f>
        <v>#REF!</v>
      </c>
      <c r="D155" s="66" t="e">
        <f>SUMIF(#REF!,XXXXFinRep!B155,#REF!)</f>
        <v>#REF!</v>
      </c>
      <c r="E155" s="67" t="e">
        <f>SUMIF(#REF!,XXXXFinRep!B155,#REF!)+SUMIF(#REF!,XXXXFinRep!B155,#REF!)</f>
        <v>#REF!</v>
      </c>
      <c r="F155" s="67" t="e">
        <f>SUMIF(#REF!,XXXXFinRep!B155,#REF!)+SUMIF(#REF!,XXXXFinRep!B155,#REF!)</f>
        <v>#REF!</v>
      </c>
      <c r="G155" s="67" t="e">
        <f>SUMIF(#REF!,XXXXFinRep!B155,#REF!)+SUMIF(#REF!,XXXXFinRep!B155,#REF!)</f>
        <v>#REF!</v>
      </c>
      <c r="H155" s="68" t="e">
        <f t="shared" si="22"/>
        <v>#REF!</v>
      </c>
      <c r="I155" s="69" t="e">
        <f t="shared" si="23"/>
        <v>#REF!</v>
      </c>
    </row>
    <row r="156" spans="1:9" x14ac:dyDescent="0.25">
      <c r="A156" s="2">
        <v>114</v>
      </c>
      <c r="B156" s="19" t="e">
        <f>VLOOKUP(A156,#REF!,2,FALSE)</f>
        <v>#REF!</v>
      </c>
      <c r="C156" s="20" t="e">
        <f>VLOOKUP(B156,#REF!,2,FALSE)</f>
        <v>#REF!</v>
      </c>
      <c r="D156" s="66" t="e">
        <f>SUMIF(#REF!,XXXXFinRep!B156,#REF!)</f>
        <v>#REF!</v>
      </c>
      <c r="E156" s="67" t="e">
        <f>SUMIF(#REF!,XXXXFinRep!B156,#REF!)+SUMIF(#REF!,XXXXFinRep!B156,#REF!)</f>
        <v>#REF!</v>
      </c>
      <c r="F156" s="67" t="e">
        <f>SUMIF(#REF!,XXXXFinRep!B156,#REF!)+SUMIF(#REF!,XXXXFinRep!B156,#REF!)</f>
        <v>#REF!</v>
      </c>
      <c r="G156" s="67" t="e">
        <f>SUMIF(#REF!,XXXXFinRep!B156,#REF!)+SUMIF(#REF!,XXXXFinRep!B156,#REF!)</f>
        <v>#REF!</v>
      </c>
      <c r="H156" s="68" t="e">
        <f t="shared" si="22"/>
        <v>#REF!</v>
      </c>
      <c r="I156" s="69" t="e">
        <f t="shared" si="23"/>
        <v>#REF!</v>
      </c>
    </row>
    <row r="157" spans="1:9" x14ac:dyDescent="0.25">
      <c r="A157" s="2">
        <v>115</v>
      </c>
      <c r="B157" s="19" t="e">
        <f>VLOOKUP(A157,#REF!,2,FALSE)</f>
        <v>#REF!</v>
      </c>
      <c r="C157" s="20" t="e">
        <f>VLOOKUP(B157,#REF!,2,FALSE)</f>
        <v>#REF!</v>
      </c>
      <c r="D157" s="66" t="e">
        <f>SUMIF(#REF!,XXXXFinRep!B157,#REF!)</f>
        <v>#REF!</v>
      </c>
      <c r="E157" s="67" t="e">
        <f>SUMIF(#REF!,XXXXFinRep!B157,#REF!)+SUMIF(#REF!,XXXXFinRep!B157,#REF!)</f>
        <v>#REF!</v>
      </c>
      <c r="F157" s="67" t="e">
        <f>SUMIF(#REF!,XXXXFinRep!B157,#REF!)+SUMIF(#REF!,XXXXFinRep!B157,#REF!)</f>
        <v>#REF!</v>
      </c>
      <c r="G157" s="67" t="e">
        <f>SUMIF(#REF!,XXXXFinRep!B157,#REF!)+SUMIF(#REF!,XXXXFinRep!B157,#REF!)</f>
        <v>#REF!</v>
      </c>
      <c r="H157" s="68" t="e">
        <f t="shared" si="22"/>
        <v>#REF!</v>
      </c>
      <c r="I157" s="69" t="e">
        <f t="shared" si="23"/>
        <v>#REF!</v>
      </c>
    </row>
    <row r="158" spans="1:9" x14ac:dyDescent="0.25">
      <c r="A158" s="2">
        <v>116</v>
      </c>
      <c r="B158" s="19" t="e">
        <f>VLOOKUP(A158,#REF!,2,FALSE)</f>
        <v>#REF!</v>
      </c>
      <c r="C158" s="20" t="e">
        <f>VLOOKUP(B158,#REF!,2,FALSE)</f>
        <v>#REF!</v>
      </c>
      <c r="D158" s="66" t="e">
        <f>SUMIF(#REF!,XXXXFinRep!B158,#REF!)</f>
        <v>#REF!</v>
      </c>
      <c r="E158" s="67" t="e">
        <f>SUMIF(#REF!,XXXXFinRep!B158,#REF!)+SUMIF(#REF!,XXXXFinRep!B158,#REF!)</f>
        <v>#REF!</v>
      </c>
      <c r="F158" s="67" t="e">
        <f>SUMIF(#REF!,XXXXFinRep!B158,#REF!)+SUMIF(#REF!,XXXXFinRep!B158,#REF!)</f>
        <v>#REF!</v>
      </c>
      <c r="G158" s="67" t="e">
        <f>SUMIF(#REF!,XXXXFinRep!B158,#REF!)+SUMIF(#REF!,XXXXFinRep!B158,#REF!)</f>
        <v>#REF!</v>
      </c>
      <c r="H158" s="68" t="e">
        <f t="shared" si="22"/>
        <v>#REF!</v>
      </c>
      <c r="I158" s="69" t="e">
        <f t="shared" si="23"/>
        <v>#REF!</v>
      </c>
    </row>
    <row r="159" spans="1:9" x14ac:dyDescent="0.25">
      <c r="A159" s="2">
        <v>117</v>
      </c>
      <c r="B159" s="19" t="e">
        <f>VLOOKUP(A159,#REF!,2,FALSE)</f>
        <v>#REF!</v>
      </c>
      <c r="C159" s="20" t="e">
        <f>VLOOKUP(B159,#REF!,2,FALSE)</f>
        <v>#REF!</v>
      </c>
      <c r="D159" s="66" t="e">
        <f>SUMIF(#REF!,XXXXFinRep!B159,#REF!)</f>
        <v>#REF!</v>
      </c>
      <c r="E159" s="67" t="e">
        <f>SUMIF(#REF!,XXXXFinRep!B159,#REF!)+SUMIF(#REF!,XXXXFinRep!B159,#REF!)</f>
        <v>#REF!</v>
      </c>
      <c r="F159" s="67" t="e">
        <f>SUMIF(#REF!,XXXXFinRep!B159,#REF!)+SUMIF(#REF!,XXXXFinRep!B159,#REF!)</f>
        <v>#REF!</v>
      </c>
      <c r="G159" s="67" t="e">
        <f>SUMIF(#REF!,XXXXFinRep!B159,#REF!)+SUMIF(#REF!,XXXXFinRep!B159,#REF!)</f>
        <v>#REF!</v>
      </c>
      <c r="H159" s="68" t="e">
        <f t="shared" si="22"/>
        <v>#REF!</v>
      </c>
      <c r="I159" s="69" t="e">
        <f t="shared" si="23"/>
        <v>#REF!</v>
      </c>
    </row>
    <row r="160" spans="1:9" x14ac:dyDescent="0.25">
      <c r="A160" s="2">
        <v>118</v>
      </c>
      <c r="B160" s="19" t="e">
        <f>VLOOKUP(A160,#REF!,2,FALSE)</f>
        <v>#REF!</v>
      </c>
      <c r="C160" s="20" t="e">
        <f>VLOOKUP(B160,#REF!,2,FALSE)</f>
        <v>#REF!</v>
      </c>
      <c r="D160" s="66" t="e">
        <f>SUMIF(#REF!,XXXXFinRep!B160,#REF!)</f>
        <v>#REF!</v>
      </c>
      <c r="E160" s="67" t="e">
        <f>SUMIF(#REF!,XXXXFinRep!B160,#REF!)+SUMIF(#REF!,XXXXFinRep!B160,#REF!)</f>
        <v>#REF!</v>
      </c>
      <c r="F160" s="67" t="e">
        <f>SUMIF(#REF!,XXXXFinRep!B160,#REF!)+SUMIF(#REF!,XXXXFinRep!B160,#REF!)</f>
        <v>#REF!</v>
      </c>
      <c r="G160" s="67" t="e">
        <f>SUMIF(#REF!,XXXXFinRep!B160,#REF!)+SUMIF(#REF!,XXXXFinRep!B160,#REF!)</f>
        <v>#REF!</v>
      </c>
      <c r="H160" s="68" t="e">
        <f t="shared" si="22"/>
        <v>#REF!</v>
      </c>
      <c r="I160" s="69" t="e">
        <f t="shared" si="23"/>
        <v>#REF!</v>
      </c>
    </row>
    <row r="161" spans="1:9" x14ac:dyDescent="0.25">
      <c r="A161" s="2">
        <v>119</v>
      </c>
      <c r="B161" s="19" t="e">
        <f>VLOOKUP(A161,#REF!,2,FALSE)</f>
        <v>#REF!</v>
      </c>
      <c r="C161" s="20" t="e">
        <f>VLOOKUP(B161,#REF!,2,FALSE)</f>
        <v>#REF!</v>
      </c>
      <c r="D161" s="66" t="e">
        <f>SUMIF(#REF!,XXXXFinRep!B161,#REF!)</f>
        <v>#REF!</v>
      </c>
      <c r="E161" s="67" t="e">
        <f>SUMIF(#REF!,XXXXFinRep!B161,#REF!)+SUMIF(#REF!,XXXXFinRep!B161,#REF!)</f>
        <v>#REF!</v>
      </c>
      <c r="F161" s="67" t="e">
        <f>SUMIF(#REF!,XXXXFinRep!B161,#REF!)+SUMIF(#REF!,XXXXFinRep!B161,#REF!)</f>
        <v>#REF!</v>
      </c>
      <c r="G161" s="67" t="e">
        <f>SUMIF(#REF!,XXXXFinRep!B161,#REF!)+SUMIF(#REF!,XXXXFinRep!B161,#REF!)</f>
        <v>#REF!</v>
      </c>
      <c r="H161" s="68" t="e">
        <f t="shared" si="22"/>
        <v>#REF!</v>
      </c>
      <c r="I161" s="69" t="e">
        <f t="shared" si="23"/>
        <v>#REF!</v>
      </c>
    </row>
    <row r="162" spans="1:9" x14ac:dyDescent="0.25">
      <c r="A162" s="2">
        <v>120</v>
      </c>
      <c r="B162" s="19" t="e">
        <f>VLOOKUP(A162,#REF!,2,FALSE)</f>
        <v>#REF!</v>
      </c>
      <c r="C162" s="20" t="e">
        <f>VLOOKUP(B162,#REF!,2,FALSE)</f>
        <v>#REF!</v>
      </c>
      <c r="D162" s="66" t="e">
        <f>SUMIF(#REF!,XXXXFinRep!B162,#REF!)</f>
        <v>#REF!</v>
      </c>
      <c r="E162" s="67" t="e">
        <f>SUMIF(#REF!,XXXXFinRep!B162,#REF!)+SUMIF(#REF!,XXXXFinRep!B162,#REF!)</f>
        <v>#REF!</v>
      </c>
      <c r="F162" s="67" t="e">
        <f>SUMIF(#REF!,XXXXFinRep!B162,#REF!)+SUMIF(#REF!,XXXXFinRep!B162,#REF!)</f>
        <v>#REF!</v>
      </c>
      <c r="G162" s="67" t="e">
        <f>SUMIF(#REF!,XXXXFinRep!B162,#REF!)+SUMIF(#REF!,XXXXFinRep!B162,#REF!)</f>
        <v>#REF!</v>
      </c>
      <c r="H162" s="68" t="e">
        <f t="shared" si="22"/>
        <v>#REF!</v>
      </c>
      <c r="I162" s="69" t="e">
        <f t="shared" si="23"/>
        <v>#REF!</v>
      </c>
    </row>
    <row r="163" spans="1:9" x14ac:dyDescent="0.25">
      <c r="B163" s="26" t="s">
        <v>140</v>
      </c>
      <c r="C163" s="28" t="s">
        <v>84</v>
      </c>
      <c r="D163" s="78" t="e">
        <f>SUM(D153:D162)</f>
        <v>#REF!</v>
      </c>
      <c r="E163" s="78" t="e">
        <f t="shared" ref="E163:I163" si="24">SUM(E153:E162)</f>
        <v>#REF!</v>
      </c>
      <c r="F163" s="78" t="e">
        <f t="shared" si="24"/>
        <v>#REF!</v>
      </c>
      <c r="G163" s="78" t="e">
        <f t="shared" si="24"/>
        <v>#REF!</v>
      </c>
      <c r="H163" s="78" t="e">
        <f t="shared" si="24"/>
        <v>#REF!</v>
      </c>
      <c r="I163" s="78" t="e">
        <f t="shared" si="24"/>
        <v>#REF!</v>
      </c>
    </row>
    <row r="164" spans="1:9" x14ac:dyDescent="0.25">
      <c r="B164" s="29">
        <v>2</v>
      </c>
      <c r="C164" s="27" t="s">
        <v>20</v>
      </c>
      <c r="D164" s="79"/>
      <c r="E164" s="80"/>
      <c r="F164" s="80"/>
      <c r="G164" s="80"/>
      <c r="H164" s="81"/>
      <c r="I164" s="82"/>
    </row>
    <row r="165" spans="1:9" x14ac:dyDescent="0.25">
      <c r="A165" s="2">
        <v>121</v>
      </c>
      <c r="B165" s="19" t="e">
        <f>VLOOKUP(A165,#REF!,2,FALSE)</f>
        <v>#REF!</v>
      </c>
      <c r="C165" s="20" t="e">
        <f>VLOOKUP(B165,#REF!,2,FALSE)</f>
        <v>#REF!</v>
      </c>
      <c r="D165" s="66" t="e">
        <f>SUMIF(#REF!,XXXXFinRep!B165,#REF!)</f>
        <v>#REF!</v>
      </c>
      <c r="E165" s="67" t="e">
        <f>SUMIF(#REF!,XXXXFinRep!B165,#REF!)+SUMIF(#REF!,XXXXFinRep!B165,#REF!)</f>
        <v>#REF!</v>
      </c>
      <c r="F165" s="67" t="e">
        <f>SUMIF(#REF!,XXXXFinRep!B165,#REF!)+SUMIF(#REF!,XXXXFinRep!B165,#REF!)</f>
        <v>#REF!</v>
      </c>
      <c r="G165" s="67" t="e">
        <f>SUMIF(#REF!,XXXXFinRep!B165,#REF!)+SUMIF(#REF!,XXXXFinRep!B165,#REF!)</f>
        <v>#REF!</v>
      </c>
      <c r="H165" s="68" t="e">
        <f t="shared" ref="H165:H174" si="25">SUM(E165,F165,G165)</f>
        <v>#REF!</v>
      </c>
      <c r="I165" s="69" t="e">
        <f t="shared" ref="I165:I174" si="26">SUM(D165-H165)</f>
        <v>#REF!</v>
      </c>
    </row>
    <row r="166" spans="1:9" x14ac:dyDescent="0.25">
      <c r="A166" s="2">
        <v>122</v>
      </c>
      <c r="B166" s="19" t="e">
        <f>VLOOKUP(A166,#REF!,2,FALSE)</f>
        <v>#REF!</v>
      </c>
      <c r="C166" s="20" t="e">
        <f>VLOOKUP(B166,#REF!,2,FALSE)</f>
        <v>#REF!</v>
      </c>
      <c r="D166" s="66" t="e">
        <f>SUMIF(#REF!,XXXXFinRep!B166,#REF!)</f>
        <v>#REF!</v>
      </c>
      <c r="E166" s="67" t="e">
        <f>SUMIF(#REF!,XXXXFinRep!B166,#REF!)+SUMIF(#REF!,XXXXFinRep!B166,#REF!)</f>
        <v>#REF!</v>
      </c>
      <c r="F166" s="67" t="e">
        <f>SUMIF(#REF!,XXXXFinRep!B166,#REF!)+SUMIF(#REF!,XXXXFinRep!B166,#REF!)</f>
        <v>#REF!</v>
      </c>
      <c r="G166" s="67" t="e">
        <f>SUMIF(#REF!,XXXXFinRep!B166,#REF!)+SUMIF(#REF!,XXXXFinRep!B166,#REF!)</f>
        <v>#REF!</v>
      </c>
      <c r="H166" s="68" t="e">
        <f t="shared" si="25"/>
        <v>#REF!</v>
      </c>
      <c r="I166" s="69" t="e">
        <f t="shared" si="26"/>
        <v>#REF!</v>
      </c>
    </row>
    <row r="167" spans="1:9" x14ac:dyDescent="0.25">
      <c r="A167" s="2">
        <v>123</v>
      </c>
      <c r="B167" s="19" t="e">
        <f>VLOOKUP(A167,#REF!,2,FALSE)</f>
        <v>#REF!</v>
      </c>
      <c r="C167" s="20" t="e">
        <f>VLOOKUP(B167,#REF!,2,FALSE)</f>
        <v>#REF!</v>
      </c>
      <c r="D167" s="66" t="e">
        <f>SUMIF(#REF!,XXXXFinRep!B167,#REF!)</f>
        <v>#REF!</v>
      </c>
      <c r="E167" s="67" t="e">
        <f>SUMIF(#REF!,XXXXFinRep!B167,#REF!)+SUMIF(#REF!,XXXXFinRep!B167,#REF!)</f>
        <v>#REF!</v>
      </c>
      <c r="F167" s="67" t="e">
        <f>SUMIF(#REF!,XXXXFinRep!B167,#REF!)+SUMIF(#REF!,XXXXFinRep!B167,#REF!)</f>
        <v>#REF!</v>
      </c>
      <c r="G167" s="67" t="e">
        <f>SUMIF(#REF!,XXXXFinRep!B167,#REF!)+SUMIF(#REF!,XXXXFinRep!B167,#REF!)</f>
        <v>#REF!</v>
      </c>
      <c r="H167" s="68" t="e">
        <f t="shared" si="25"/>
        <v>#REF!</v>
      </c>
      <c r="I167" s="69" t="e">
        <f t="shared" si="26"/>
        <v>#REF!</v>
      </c>
    </row>
    <row r="168" spans="1:9" x14ac:dyDescent="0.25">
      <c r="A168" s="2">
        <v>124</v>
      </c>
      <c r="B168" s="19" t="e">
        <f>VLOOKUP(A168,#REF!,2,FALSE)</f>
        <v>#REF!</v>
      </c>
      <c r="C168" s="20" t="e">
        <f>VLOOKUP(B168,#REF!,2,FALSE)</f>
        <v>#REF!</v>
      </c>
      <c r="D168" s="66" t="e">
        <f>SUMIF(#REF!,XXXXFinRep!B168,#REF!)</f>
        <v>#REF!</v>
      </c>
      <c r="E168" s="67" t="e">
        <f>SUMIF(#REF!,XXXXFinRep!B168,#REF!)+SUMIF(#REF!,XXXXFinRep!B168,#REF!)</f>
        <v>#REF!</v>
      </c>
      <c r="F168" s="67" t="e">
        <f>SUMIF(#REF!,XXXXFinRep!B168,#REF!)+SUMIF(#REF!,XXXXFinRep!B168,#REF!)</f>
        <v>#REF!</v>
      </c>
      <c r="G168" s="67" t="e">
        <f>SUMIF(#REF!,XXXXFinRep!B168,#REF!)+SUMIF(#REF!,XXXXFinRep!B168,#REF!)</f>
        <v>#REF!</v>
      </c>
      <c r="H168" s="68" t="e">
        <f t="shared" si="25"/>
        <v>#REF!</v>
      </c>
      <c r="I168" s="69" t="e">
        <f t="shared" si="26"/>
        <v>#REF!</v>
      </c>
    </row>
    <row r="169" spans="1:9" x14ac:dyDescent="0.25">
      <c r="A169" s="2">
        <v>125</v>
      </c>
      <c r="B169" s="19" t="e">
        <f>VLOOKUP(A169,#REF!,2,FALSE)</f>
        <v>#REF!</v>
      </c>
      <c r="C169" s="20" t="e">
        <f>VLOOKUP(B169,#REF!,2,FALSE)</f>
        <v>#REF!</v>
      </c>
      <c r="D169" s="66" t="e">
        <f>SUMIF(#REF!,XXXXFinRep!B169,#REF!)</f>
        <v>#REF!</v>
      </c>
      <c r="E169" s="67" t="e">
        <f>SUMIF(#REF!,XXXXFinRep!B169,#REF!)+SUMIF(#REF!,XXXXFinRep!B169,#REF!)</f>
        <v>#REF!</v>
      </c>
      <c r="F169" s="67" t="e">
        <f>SUMIF(#REF!,XXXXFinRep!B169,#REF!)+SUMIF(#REF!,XXXXFinRep!B169,#REF!)</f>
        <v>#REF!</v>
      </c>
      <c r="G169" s="67" t="e">
        <f>SUMIF(#REF!,XXXXFinRep!B169,#REF!)+SUMIF(#REF!,XXXXFinRep!B169,#REF!)</f>
        <v>#REF!</v>
      </c>
      <c r="H169" s="68" t="e">
        <f t="shared" si="25"/>
        <v>#REF!</v>
      </c>
      <c r="I169" s="69" t="e">
        <f t="shared" si="26"/>
        <v>#REF!</v>
      </c>
    </row>
    <row r="170" spans="1:9" x14ac:dyDescent="0.25">
      <c r="A170" s="2">
        <v>126</v>
      </c>
      <c r="B170" s="19" t="e">
        <f>VLOOKUP(A170,#REF!,2,FALSE)</f>
        <v>#REF!</v>
      </c>
      <c r="C170" s="20" t="e">
        <f>VLOOKUP(B170,#REF!,2,FALSE)</f>
        <v>#REF!</v>
      </c>
      <c r="D170" s="66" t="e">
        <f>SUMIF(#REF!,XXXXFinRep!B170,#REF!)</f>
        <v>#REF!</v>
      </c>
      <c r="E170" s="67" t="e">
        <f>SUMIF(#REF!,XXXXFinRep!B170,#REF!)+SUMIF(#REF!,XXXXFinRep!B170,#REF!)</f>
        <v>#REF!</v>
      </c>
      <c r="F170" s="67" t="e">
        <f>SUMIF(#REF!,XXXXFinRep!B170,#REF!)+SUMIF(#REF!,XXXXFinRep!B170,#REF!)</f>
        <v>#REF!</v>
      </c>
      <c r="G170" s="67" t="e">
        <f>SUMIF(#REF!,XXXXFinRep!B170,#REF!)+SUMIF(#REF!,XXXXFinRep!B170,#REF!)</f>
        <v>#REF!</v>
      </c>
      <c r="H170" s="68" t="e">
        <f t="shared" si="25"/>
        <v>#REF!</v>
      </c>
      <c r="I170" s="69" t="e">
        <f t="shared" si="26"/>
        <v>#REF!</v>
      </c>
    </row>
    <row r="171" spans="1:9" x14ac:dyDescent="0.25">
      <c r="A171" s="2">
        <v>127</v>
      </c>
      <c r="B171" s="19" t="e">
        <f>VLOOKUP(A171,#REF!,2,FALSE)</f>
        <v>#REF!</v>
      </c>
      <c r="C171" s="20" t="e">
        <f>VLOOKUP(B171,#REF!,2,FALSE)</f>
        <v>#REF!</v>
      </c>
      <c r="D171" s="66" t="e">
        <f>SUMIF(#REF!,XXXXFinRep!B171,#REF!)</f>
        <v>#REF!</v>
      </c>
      <c r="E171" s="67" t="e">
        <f>SUMIF(#REF!,XXXXFinRep!B171,#REF!)+SUMIF(#REF!,XXXXFinRep!B171,#REF!)</f>
        <v>#REF!</v>
      </c>
      <c r="F171" s="67" t="e">
        <f>SUMIF(#REF!,XXXXFinRep!B171,#REF!)+SUMIF(#REF!,XXXXFinRep!B171,#REF!)</f>
        <v>#REF!</v>
      </c>
      <c r="G171" s="67" t="e">
        <f>SUMIF(#REF!,XXXXFinRep!B171,#REF!)+SUMIF(#REF!,XXXXFinRep!B171,#REF!)</f>
        <v>#REF!</v>
      </c>
      <c r="H171" s="68" t="e">
        <f t="shared" si="25"/>
        <v>#REF!</v>
      </c>
      <c r="I171" s="69" t="e">
        <f t="shared" si="26"/>
        <v>#REF!</v>
      </c>
    </row>
    <row r="172" spans="1:9" x14ac:dyDescent="0.25">
      <c r="A172" s="2">
        <v>128</v>
      </c>
      <c r="B172" s="19" t="e">
        <f>VLOOKUP(A172,#REF!,2,FALSE)</f>
        <v>#REF!</v>
      </c>
      <c r="C172" s="20" t="e">
        <f>VLOOKUP(B172,#REF!,2,FALSE)</f>
        <v>#REF!</v>
      </c>
      <c r="D172" s="66" t="e">
        <f>SUMIF(#REF!,XXXXFinRep!B172,#REF!)</f>
        <v>#REF!</v>
      </c>
      <c r="E172" s="67" t="e">
        <f>SUMIF(#REF!,XXXXFinRep!B172,#REF!)+SUMIF(#REF!,XXXXFinRep!B172,#REF!)</f>
        <v>#REF!</v>
      </c>
      <c r="F172" s="67" t="e">
        <f>SUMIF(#REF!,XXXXFinRep!B172,#REF!)+SUMIF(#REF!,XXXXFinRep!B172,#REF!)</f>
        <v>#REF!</v>
      </c>
      <c r="G172" s="67" t="e">
        <f>SUMIF(#REF!,XXXXFinRep!B172,#REF!)+SUMIF(#REF!,XXXXFinRep!B172,#REF!)</f>
        <v>#REF!</v>
      </c>
      <c r="H172" s="68" t="e">
        <f t="shared" si="25"/>
        <v>#REF!</v>
      </c>
      <c r="I172" s="69" t="e">
        <f t="shared" si="26"/>
        <v>#REF!</v>
      </c>
    </row>
    <row r="173" spans="1:9" x14ac:dyDescent="0.25">
      <c r="A173" s="2">
        <v>129</v>
      </c>
      <c r="B173" s="19" t="e">
        <f>VLOOKUP(A173,#REF!,2,FALSE)</f>
        <v>#REF!</v>
      </c>
      <c r="C173" s="20" t="e">
        <f>VLOOKUP(B173,#REF!,2,FALSE)</f>
        <v>#REF!</v>
      </c>
      <c r="D173" s="66" t="e">
        <f>SUMIF(#REF!,XXXXFinRep!B173,#REF!)</f>
        <v>#REF!</v>
      </c>
      <c r="E173" s="67" t="e">
        <f>SUMIF(#REF!,XXXXFinRep!B173,#REF!)+SUMIF(#REF!,XXXXFinRep!B173,#REF!)</f>
        <v>#REF!</v>
      </c>
      <c r="F173" s="67" t="e">
        <f>SUMIF(#REF!,XXXXFinRep!B173,#REF!)+SUMIF(#REF!,XXXXFinRep!B173,#REF!)</f>
        <v>#REF!</v>
      </c>
      <c r="G173" s="67" t="e">
        <f>SUMIF(#REF!,XXXXFinRep!B173,#REF!)+SUMIF(#REF!,XXXXFinRep!B173,#REF!)</f>
        <v>#REF!</v>
      </c>
      <c r="H173" s="68" t="e">
        <f t="shared" si="25"/>
        <v>#REF!</v>
      </c>
      <c r="I173" s="69" t="e">
        <f t="shared" si="26"/>
        <v>#REF!</v>
      </c>
    </row>
    <row r="174" spans="1:9" x14ac:dyDescent="0.25">
      <c r="A174" s="2">
        <v>130</v>
      </c>
      <c r="B174" s="19" t="e">
        <f>VLOOKUP(A174,#REF!,2,FALSE)</f>
        <v>#REF!</v>
      </c>
      <c r="C174" s="20" t="e">
        <f>VLOOKUP(B174,#REF!,2,FALSE)</f>
        <v>#REF!</v>
      </c>
      <c r="D174" s="66" t="e">
        <f>SUMIF(#REF!,XXXXFinRep!B174,#REF!)</f>
        <v>#REF!</v>
      </c>
      <c r="E174" s="67" t="e">
        <f>SUMIF(#REF!,XXXXFinRep!B174,#REF!)+SUMIF(#REF!,XXXXFinRep!B174,#REF!)</f>
        <v>#REF!</v>
      </c>
      <c r="F174" s="67" t="e">
        <f>SUMIF(#REF!,XXXXFinRep!B174,#REF!)+SUMIF(#REF!,XXXXFinRep!B174,#REF!)</f>
        <v>#REF!</v>
      </c>
      <c r="G174" s="67" t="e">
        <f>SUMIF(#REF!,XXXXFinRep!B174,#REF!)+SUMIF(#REF!,XXXXFinRep!B174,#REF!)</f>
        <v>#REF!</v>
      </c>
      <c r="H174" s="68" t="e">
        <f t="shared" si="25"/>
        <v>#REF!</v>
      </c>
      <c r="I174" s="69" t="e">
        <f t="shared" si="26"/>
        <v>#REF!</v>
      </c>
    </row>
    <row r="175" spans="1:9" x14ac:dyDescent="0.25">
      <c r="B175" s="26" t="s">
        <v>141</v>
      </c>
      <c r="C175" s="28" t="s">
        <v>85</v>
      </c>
      <c r="D175" s="78" t="e">
        <f>SUM(D165:D174)</f>
        <v>#REF!</v>
      </c>
      <c r="E175" s="78" t="e">
        <f t="shared" ref="E175:I175" si="27">SUM(E165:E174)</f>
        <v>#REF!</v>
      </c>
      <c r="F175" s="78" t="e">
        <f t="shared" si="27"/>
        <v>#REF!</v>
      </c>
      <c r="G175" s="78" t="e">
        <f t="shared" si="27"/>
        <v>#REF!</v>
      </c>
      <c r="H175" s="78" t="e">
        <f t="shared" si="27"/>
        <v>#REF!</v>
      </c>
      <c r="I175" s="78" t="e">
        <f t="shared" si="27"/>
        <v>#REF!</v>
      </c>
    </row>
    <row r="176" spans="1:9" ht="13.8" thickBot="1" x14ac:dyDescent="0.3">
      <c r="B176" s="19"/>
      <c r="D176" s="66"/>
      <c r="E176" s="75"/>
      <c r="F176" s="75"/>
      <c r="G176" s="75"/>
      <c r="H176" s="76"/>
      <c r="I176" s="77"/>
    </row>
    <row r="177" spans="1:9" ht="13.8" thickBot="1" x14ac:dyDescent="0.3">
      <c r="B177" s="19"/>
      <c r="C177" s="22" t="s">
        <v>86</v>
      </c>
      <c r="D177" s="70" t="e">
        <f>SUM(D175,D163)</f>
        <v>#REF!</v>
      </c>
      <c r="E177" s="70" t="e">
        <f t="shared" ref="E177:I177" si="28">SUM(E175,E163)</f>
        <v>#REF!</v>
      </c>
      <c r="F177" s="70" t="e">
        <f t="shared" si="28"/>
        <v>#REF!</v>
      </c>
      <c r="G177" s="70" t="e">
        <f t="shared" si="28"/>
        <v>#REF!</v>
      </c>
      <c r="H177" s="70" t="e">
        <f t="shared" si="28"/>
        <v>#REF!</v>
      </c>
      <c r="I177" s="70" t="e">
        <f t="shared" si="28"/>
        <v>#REF!</v>
      </c>
    </row>
    <row r="178" spans="1:9" ht="13.8" thickBot="1" x14ac:dyDescent="0.3">
      <c r="B178" s="19"/>
      <c r="D178" s="66"/>
      <c r="E178" s="75"/>
      <c r="F178" s="75"/>
      <c r="G178" s="75"/>
      <c r="H178" s="76"/>
      <c r="I178" s="77"/>
    </row>
    <row r="179" spans="1:9" ht="13.8" thickBot="1" x14ac:dyDescent="0.3">
      <c r="B179" s="30"/>
      <c r="C179" s="31" t="s">
        <v>87</v>
      </c>
      <c r="D179" s="83" t="e">
        <f>SUM(D177,D149,D31)</f>
        <v>#REF!</v>
      </c>
      <c r="E179" s="83" t="e">
        <f t="shared" ref="E179:I179" si="29">SUM(E177,E149,E31)</f>
        <v>#REF!</v>
      </c>
      <c r="F179" s="83" t="e">
        <f t="shared" si="29"/>
        <v>#REF!</v>
      </c>
      <c r="G179" s="83" t="e">
        <f t="shared" si="29"/>
        <v>#REF!</v>
      </c>
      <c r="H179" s="83" t="e">
        <f t="shared" si="29"/>
        <v>#REF!</v>
      </c>
      <c r="I179" s="83" t="e">
        <f t="shared" si="29"/>
        <v>#REF!</v>
      </c>
    </row>
    <row r="180" spans="1:9" ht="13.8" thickBot="1" x14ac:dyDescent="0.3">
      <c r="B180" s="19"/>
      <c r="D180" s="66"/>
      <c r="E180" s="67"/>
      <c r="F180" s="67"/>
      <c r="G180" s="67"/>
      <c r="H180" s="68"/>
      <c r="I180" s="69"/>
    </row>
    <row r="181" spans="1:9" x14ac:dyDescent="0.25">
      <c r="B181" s="32" t="s">
        <v>88</v>
      </c>
      <c r="C181" s="33"/>
      <c r="D181" s="71"/>
      <c r="E181" s="72"/>
      <c r="F181" s="72"/>
      <c r="G181" s="72"/>
      <c r="H181" s="73"/>
      <c r="I181" s="74"/>
    </row>
    <row r="182" spans="1:9" x14ac:dyDescent="0.25">
      <c r="B182" s="34"/>
      <c r="D182" s="84"/>
      <c r="E182" s="85"/>
      <c r="F182" s="85"/>
      <c r="G182" s="85"/>
      <c r="H182" s="86"/>
      <c r="I182" s="87"/>
    </row>
    <row r="183" spans="1:9" x14ac:dyDescent="0.25">
      <c r="B183" s="23"/>
      <c r="C183" s="27" t="s">
        <v>89</v>
      </c>
      <c r="D183" s="66"/>
      <c r="E183" s="67"/>
      <c r="F183" s="67"/>
      <c r="G183" s="67"/>
      <c r="H183" s="68"/>
      <c r="I183" s="69"/>
    </row>
    <row r="184" spans="1:9" x14ac:dyDescent="0.25">
      <c r="A184" s="2">
        <v>131</v>
      </c>
      <c r="B184" s="19" t="e">
        <f>VLOOKUP(A184,#REF!,2,FALSE)</f>
        <v>#REF!</v>
      </c>
      <c r="C184" s="20" t="e">
        <f>VLOOKUP(B184,#REF!,2,FALSE)</f>
        <v>#REF!</v>
      </c>
      <c r="D184" s="66" t="e">
        <f>SUMIF(#REF!,XXXXFinRep!B184,#REF!)</f>
        <v>#REF!</v>
      </c>
      <c r="E184" s="67" t="e">
        <f>SUMIF(#REF!,XXXXFinRep!B184,#REF!)+SUMIF(#REF!,XXXXFinRep!B184,#REF!)</f>
        <v>#REF!</v>
      </c>
      <c r="F184" s="67" t="e">
        <f>SUMIF(#REF!,XXXXFinRep!B184,#REF!)+SUMIF(#REF!,XXXXFinRep!B184,#REF!)</f>
        <v>#REF!</v>
      </c>
      <c r="G184" s="67" t="e">
        <f>SUMIF(#REF!,XXXXFinRep!B184,#REF!)+SUMIF(#REF!,XXXXFinRep!B184,#REF!)</f>
        <v>#REF!</v>
      </c>
      <c r="H184" s="68" t="e">
        <f t="shared" ref="H184:H193" si="30">SUM(E184,F184,G184)</f>
        <v>#REF!</v>
      </c>
      <c r="I184" s="69" t="e">
        <f t="shared" ref="I184:I193" si="31">SUM(D184-H184)</f>
        <v>#REF!</v>
      </c>
    </row>
    <row r="185" spans="1:9" x14ac:dyDescent="0.25">
      <c r="A185" s="2">
        <v>132</v>
      </c>
      <c r="B185" s="19" t="e">
        <f>VLOOKUP(A185,#REF!,2,FALSE)</f>
        <v>#REF!</v>
      </c>
      <c r="C185" s="20" t="e">
        <f>VLOOKUP(B185,#REF!,2,FALSE)</f>
        <v>#REF!</v>
      </c>
      <c r="D185" s="66" t="e">
        <f>SUMIF(#REF!,XXXXFinRep!B185,#REF!)</f>
        <v>#REF!</v>
      </c>
      <c r="E185" s="67" t="e">
        <f>SUMIF(#REF!,XXXXFinRep!B185,#REF!)+SUMIF(#REF!,XXXXFinRep!B185,#REF!)</f>
        <v>#REF!</v>
      </c>
      <c r="F185" s="67" t="e">
        <f>SUMIF(#REF!,XXXXFinRep!B185,#REF!)+SUMIF(#REF!,XXXXFinRep!B185,#REF!)</f>
        <v>#REF!</v>
      </c>
      <c r="G185" s="67" t="e">
        <f>SUMIF(#REF!,XXXXFinRep!B185,#REF!)+SUMIF(#REF!,XXXXFinRep!B185,#REF!)</f>
        <v>#REF!</v>
      </c>
      <c r="H185" s="68" t="e">
        <f t="shared" si="30"/>
        <v>#REF!</v>
      </c>
      <c r="I185" s="69" t="e">
        <f t="shared" si="31"/>
        <v>#REF!</v>
      </c>
    </row>
    <row r="186" spans="1:9" x14ac:dyDescent="0.25">
      <c r="A186" s="2">
        <v>133</v>
      </c>
      <c r="B186" s="19" t="e">
        <f>VLOOKUP(A186,#REF!,2,FALSE)</f>
        <v>#REF!</v>
      </c>
      <c r="C186" s="20" t="e">
        <f>VLOOKUP(B186,#REF!,2,FALSE)</f>
        <v>#REF!</v>
      </c>
      <c r="D186" s="66" t="e">
        <f>SUMIF(#REF!,XXXXFinRep!B186,#REF!)</f>
        <v>#REF!</v>
      </c>
      <c r="E186" s="67" t="e">
        <f>SUMIF(#REF!,XXXXFinRep!B186,#REF!)+SUMIF(#REF!,XXXXFinRep!B186,#REF!)</f>
        <v>#REF!</v>
      </c>
      <c r="F186" s="67" t="e">
        <f>SUMIF(#REF!,XXXXFinRep!B186,#REF!)+SUMIF(#REF!,XXXXFinRep!B186,#REF!)</f>
        <v>#REF!</v>
      </c>
      <c r="G186" s="67" t="e">
        <f>SUMIF(#REF!,XXXXFinRep!B186,#REF!)+SUMIF(#REF!,XXXXFinRep!B186,#REF!)</f>
        <v>#REF!</v>
      </c>
      <c r="H186" s="68" t="e">
        <f t="shared" si="30"/>
        <v>#REF!</v>
      </c>
      <c r="I186" s="69" t="e">
        <f t="shared" si="31"/>
        <v>#REF!</v>
      </c>
    </row>
    <row r="187" spans="1:9" x14ac:dyDescent="0.25">
      <c r="A187" s="2">
        <v>134</v>
      </c>
      <c r="B187" s="19" t="e">
        <f>VLOOKUP(A187,#REF!,2,FALSE)</f>
        <v>#REF!</v>
      </c>
      <c r="C187" s="20" t="e">
        <f>VLOOKUP(B187,#REF!,2,FALSE)</f>
        <v>#REF!</v>
      </c>
      <c r="D187" s="66" t="e">
        <f>SUMIF(#REF!,XXXXFinRep!B187,#REF!)</f>
        <v>#REF!</v>
      </c>
      <c r="E187" s="67" t="e">
        <f>SUMIF(#REF!,XXXXFinRep!B187,#REF!)+SUMIF(#REF!,XXXXFinRep!B187,#REF!)</f>
        <v>#REF!</v>
      </c>
      <c r="F187" s="67" t="e">
        <f>SUMIF(#REF!,XXXXFinRep!B187,#REF!)+SUMIF(#REF!,XXXXFinRep!B187,#REF!)</f>
        <v>#REF!</v>
      </c>
      <c r="G187" s="67" t="e">
        <f>SUMIF(#REF!,XXXXFinRep!B187,#REF!)+SUMIF(#REF!,XXXXFinRep!B187,#REF!)</f>
        <v>#REF!</v>
      </c>
      <c r="H187" s="68" t="e">
        <f t="shared" si="30"/>
        <v>#REF!</v>
      </c>
      <c r="I187" s="69" t="e">
        <f t="shared" si="31"/>
        <v>#REF!</v>
      </c>
    </row>
    <row r="188" spans="1:9" x14ac:dyDescent="0.25">
      <c r="A188" s="2">
        <v>135</v>
      </c>
      <c r="B188" s="19" t="e">
        <f>VLOOKUP(A188,#REF!,2,FALSE)</f>
        <v>#REF!</v>
      </c>
      <c r="C188" s="20" t="e">
        <f>VLOOKUP(B188,#REF!,2,FALSE)</f>
        <v>#REF!</v>
      </c>
      <c r="D188" s="66" t="e">
        <f>SUMIF(#REF!,XXXXFinRep!B188,#REF!)</f>
        <v>#REF!</v>
      </c>
      <c r="E188" s="67" t="e">
        <f>SUMIF(#REF!,XXXXFinRep!B188,#REF!)+SUMIF(#REF!,XXXXFinRep!B188,#REF!)</f>
        <v>#REF!</v>
      </c>
      <c r="F188" s="67" t="e">
        <f>SUMIF(#REF!,XXXXFinRep!B188,#REF!)+SUMIF(#REF!,XXXXFinRep!B188,#REF!)</f>
        <v>#REF!</v>
      </c>
      <c r="G188" s="67" t="e">
        <f>SUMIF(#REF!,XXXXFinRep!B188,#REF!)+SUMIF(#REF!,XXXXFinRep!B188,#REF!)</f>
        <v>#REF!</v>
      </c>
      <c r="H188" s="68" t="e">
        <f t="shared" si="30"/>
        <v>#REF!</v>
      </c>
      <c r="I188" s="69" t="e">
        <f t="shared" si="31"/>
        <v>#REF!</v>
      </c>
    </row>
    <row r="189" spans="1:9" x14ac:dyDescent="0.25">
      <c r="A189" s="2">
        <v>136</v>
      </c>
      <c r="B189" s="19" t="e">
        <f>VLOOKUP(A189,#REF!,2,FALSE)</f>
        <v>#REF!</v>
      </c>
      <c r="C189" s="20" t="e">
        <f>VLOOKUP(B189,#REF!,2,FALSE)</f>
        <v>#REF!</v>
      </c>
      <c r="D189" s="66" t="e">
        <f>SUMIF(#REF!,XXXXFinRep!B189,#REF!)</f>
        <v>#REF!</v>
      </c>
      <c r="E189" s="67" t="e">
        <f>SUMIF(#REF!,XXXXFinRep!B189,#REF!)+SUMIF(#REF!,XXXXFinRep!B189,#REF!)</f>
        <v>#REF!</v>
      </c>
      <c r="F189" s="67" t="e">
        <f>SUMIF(#REF!,XXXXFinRep!B189,#REF!)+SUMIF(#REF!,XXXXFinRep!B189,#REF!)</f>
        <v>#REF!</v>
      </c>
      <c r="G189" s="67" t="e">
        <f>SUMIF(#REF!,XXXXFinRep!B189,#REF!)+SUMIF(#REF!,XXXXFinRep!B189,#REF!)</f>
        <v>#REF!</v>
      </c>
      <c r="H189" s="68" t="e">
        <f t="shared" si="30"/>
        <v>#REF!</v>
      </c>
      <c r="I189" s="69" t="e">
        <f t="shared" si="31"/>
        <v>#REF!</v>
      </c>
    </row>
    <row r="190" spans="1:9" x14ac:dyDescent="0.25">
      <c r="A190" s="2">
        <v>137</v>
      </c>
      <c r="B190" s="19" t="e">
        <f>VLOOKUP(A190,#REF!,2,FALSE)</f>
        <v>#REF!</v>
      </c>
      <c r="C190" s="20" t="e">
        <f>VLOOKUP(B190,#REF!,2,FALSE)</f>
        <v>#REF!</v>
      </c>
      <c r="D190" s="66" t="e">
        <f>SUMIF(#REF!,XXXXFinRep!B190,#REF!)</f>
        <v>#REF!</v>
      </c>
      <c r="E190" s="67" t="e">
        <f>SUMIF(#REF!,XXXXFinRep!B190,#REF!)+SUMIF(#REF!,XXXXFinRep!B190,#REF!)</f>
        <v>#REF!</v>
      </c>
      <c r="F190" s="67" t="e">
        <f>SUMIF(#REF!,XXXXFinRep!B190,#REF!)+SUMIF(#REF!,XXXXFinRep!B190,#REF!)</f>
        <v>#REF!</v>
      </c>
      <c r="G190" s="67" t="e">
        <f>SUMIF(#REF!,XXXXFinRep!B190,#REF!)+SUMIF(#REF!,XXXXFinRep!B190,#REF!)</f>
        <v>#REF!</v>
      </c>
      <c r="H190" s="68" t="e">
        <f t="shared" si="30"/>
        <v>#REF!</v>
      </c>
      <c r="I190" s="69" t="e">
        <f t="shared" si="31"/>
        <v>#REF!</v>
      </c>
    </row>
    <row r="191" spans="1:9" x14ac:dyDescent="0.25">
      <c r="A191" s="2">
        <v>138</v>
      </c>
      <c r="B191" s="19" t="e">
        <f>VLOOKUP(A191,#REF!,2,FALSE)</f>
        <v>#REF!</v>
      </c>
      <c r="C191" s="20" t="e">
        <f>VLOOKUP(B191,#REF!,2,FALSE)</f>
        <v>#REF!</v>
      </c>
      <c r="D191" s="66" t="e">
        <f>SUMIF(#REF!,XXXXFinRep!B191,#REF!)</f>
        <v>#REF!</v>
      </c>
      <c r="E191" s="67" t="e">
        <f>SUMIF(#REF!,XXXXFinRep!B191,#REF!)+SUMIF(#REF!,XXXXFinRep!B191,#REF!)</f>
        <v>#REF!</v>
      </c>
      <c r="F191" s="67" t="e">
        <f>SUMIF(#REF!,XXXXFinRep!B191,#REF!)+SUMIF(#REF!,XXXXFinRep!B191,#REF!)</f>
        <v>#REF!</v>
      </c>
      <c r="G191" s="67" t="e">
        <f>SUMIF(#REF!,XXXXFinRep!B191,#REF!)+SUMIF(#REF!,XXXXFinRep!B191,#REF!)</f>
        <v>#REF!</v>
      </c>
      <c r="H191" s="68" t="e">
        <f t="shared" si="30"/>
        <v>#REF!</v>
      </c>
      <c r="I191" s="69" t="e">
        <f t="shared" si="31"/>
        <v>#REF!</v>
      </c>
    </row>
    <row r="192" spans="1:9" x14ac:dyDescent="0.25">
      <c r="A192" s="2">
        <v>139</v>
      </c>
      <c r="B192" s="19" t="e">
        <f>VLOOKUP(A192,#REF!,2,FALSE)</f>
        <v>#REF!</v>
      </c>
      <c r="C192" s="20" t="e">
        <f>VLOOKUP(B192,#REF!,2,FALSE)</f>
        <v>#REF!</v>
      </c>
      <c r="D192" s="66" t="e">
        <f>SUMIF(#REF!,XXXXFinRep!B192,#REF!)</f>
        <v>#REF!</v>
      </c>
      <c r="E192" s="67" t="e">
        <f>SUMIF(#REF!,XXXXFinRep!B192,#REF!)+SUMIF(#REF!,XXXXFinRep!B192,#REF!)</f>
        <v>#REF!</v>
      </c>
      <c r="F192" s="67" t="e">
        <f>SUMIF(#REF!,XXXXFinRep!B192,#REF!)+SUMIF(#REF!,XXXXFinRep!B192,#REF!)</f>
        <v>#REF!</v>
      </c>
      <c r="G192" s="67" t="e">
        <f>SUMIF(#REF!,XXXXFinRep!B192,#REF!)+SUMIF(#REF!,XXXXFinRep!B192,#REF!)</f>
        <v>#REF!</v>
      </c>
      <c r="H192" s="68" t="e">
        <f t="shared" si="30"/>
        <v>#REF!</v>
      </c>
      <c r="I192" s="69" t="e">
        <f t="shared" si="31"/>
        <v>#REF!</v>
      </c>
    </row>
    <row r="193" spans="1:9" x14ac:dyDescent="0.25">
      <c r="A193" s="2">
        <v>140</v>
      </c>
      <c r="B193" s="19" t="e">
        <f>VLOOKUP(A193,#REF!,2,FALSE)</f>
        <v>#REF!</v>
      </c>
      <c r="C193" s="20" t="e">
        <f>VLOOKUP(B193,#REF!,2,FALSE)</f>
        <v>#REF!</v>
      </c>
      <c r="D193" s="66" t="e">
        <f>SUMIF(#REF!,XXXXFinRep!B193,#REF!)</f>
        <v>#REF!</v>
      </c>
      <c r="E193" s="67" t="e">
        <f>SUMIF(#REF!,XXXXFinRep!B193,#REF!)+SUMIF(#REF!,XXXXFinRep!B193,#REF!)</f>
        <v>#REF!</v>
      </c>
      <c r="F193" s="67" t="e">
        <f>SUMIF(#REF!,XXXXFinRep!B193,#REF!)+SUMIF(#REF!,XXXXFinRep!B193,#REF!)</f>
        <v>#REF!</v>
      </c>
      <c r="G193" s="67" t="e">
        <f>SUMIF(#REF!,XXXXFinRep!B193,#REF!)+SUMIF(#REF!,XXXXFinRep!B193,#REF!)</f>
        <v>#REF!</v>
      </c>
      <c r="H193" s="68" t="e">
        <f t="shared" si="30"/>
        <v>#REF!</v>
      </c>
      <c r="I193" s="69" t="e">
        <f t="shared" si="31"/>
        <v>#REF!</v>
      </c>
    </row>
    <row r="194" spans="1:9" x14ac:dyDescent="0.25">
      <c r="B194" s="21" t="s">
        <v>142</v>
      </c>
      <c r="C194" s="28" t="s">
        <v>90</v>
      </c>
      <c r="D194" s="78" t="e">
        <f>SUM(D184:D193)</f>
        <v>#REF!</v>
      </c>
      <c r="E194" s="78" t="e">
        <f t="shared" ref="E194:I194" si="32">SUM(E184:E193)</f>
        <v>#REF!</v>
      </c>
      <c r="F194" s="78" t="e">
        <f t="shared" si="32"/>
        <v>#REF!</v>
      </c>
      <c r="G194" s="78" t="e">
        <f t="shared" si="32"/>
        <v>#REF!</v>
      </c>
      <c r="H194" s="78" t="e">
        <f t="shared" si="32"/>
        <v>#REF!</v>
      </c>
      <c r="I194" s="78" t="e">
        <f t="shared" si="32"/>
        <v>#REF!</v>
      </c>
    </row>
    <row r="195" spans="1:9" x14ac:dyDescent="0.25">
      <c r="B195" s="19"/>
      <c r="D195" s="66"/>
      <c r="E195" s="67"/>
      <c r="F195" s="67"/>
      <c r="G195" s="67"/>
      <c r="H195" s="68"/>
      <c r="I195" s="69"/>
    </row>
    <row r="196" spans="1:9" x14ac:dyDescent="0.25">
      <c r="B196" s="23"/>
      <c r="C196" s="27" t="s">
        <v>91</v>
      </c>
      <c r="D196" s="66"/>
      <c r="E196" s="67"/>
      <c r="F196" s="67"/>
      <c r="G196" s="67"/>
      <c r="H196" s="68"/>
      <c r="I196" s="69"/>
    </row>
    <row r="197" spans="1:9" x14ac:dyDescent="0.25">
      <c r="A197" s="2">
        <v>141</v>
      </c>
      <c r="B197" s="35" t="e">
        <f>VLOOKUP(A197,#REF!,2,FALSE)</f>
        <v>#REF!</v>
      </c>
      <c r="C197" s="20" t="e">
        <f>VLOOKUP(B197,#REF!,2,FALSE)</f>
        <v>#REF!</v>
      </c>
      <c r="D197" s="66" t="e">
        <f>SUMIF(#REF!,XXXXFinRep!B197,#REF!)</f>
        <v>#REF!</v>
      </c>
      <c r="E197" s="67" t="e">
        <f>SUMIF(#REF!,XXXXFinRep!B197,#REF!)+SUMIF(#REF!,XXXXFinRep!B197,#REF!)</f>
        <v>#REF!</v>
      </c>
      <c r="F197" s="67" t="e">
        <f>SUMIF(#REF!,XXXXFinRep!B197,#REF!)+SUMIF(#REF!,XXXXFinRep!B197,#REF!)</f>
        <v>#REF!</v>
      </c>
      <c r="G197" s="67" t="e">
        <f>SUMIF(#REF!,XXXXFinRep!B197,#REF!)+SUMIF(#REF!,XXXXFinRep!B197,#REF!)</f>
        <v>#REF!</v>
      </c>
      <c r="H197" s="68" t="e">
        <f t="shared" ref="H197:H206" si="33">SUM(E197,F197,G197)</f>
        <v>#REF!</v>
      </c>
      <c r="I197" s="69" t="e">
        <f t="shared" ref="I197:I206" si="34">SUM(D197-H197)</f>
        <v>#REF!</v>
      </c>
    </row>
    <row r="198" spans="1:9" x14ac:dyDescent="0.25">
      <c r="A198" s="2">
        <v>142</v>
      </c>
      <c r="B198" s="35" t="e">
        <f>VLOOKUP(A198,#REF!,2,FALSE)</f>
        <v>#REF!</v>
      </c>
      <c r="C198" s="20" t="e">
        <f>VLOOKUP(B198,#REF!,2,FALSE)</f>
        <v>#REF!</v>
      </c>
      <c r="D198" s="66" t="e">
        <f>SUMIF(#REF!,XXXXFinRep!B198,#REF!)</f>
        <v>#REF!</v>
      </c>
      <c r="E198" s="67" t="e">
        <f>SUMIF(#REF!,XXXXFinRep!B198,#REF!)+SUMIF(#REF!,XXXXFinRep!B198,#REF!)</f>
        <v>#REF!</v>
      </c>
      <c r="F198" s="67" t="e">
        <f>SUMIF(#REF!,XXXXFinRep!B198,#REF!)+SUMIF(#REF!,XXXXFinRep!B198,#REF!)</f>
        <v>#REF!</v>
      </c>
      <c r="G198" s="67" t="e">
        <f>SUMIF(#REF!,XXXXFinRep!B198,#REF!)+SUMIF(#REF!,XXXXFinRep!B198,#REF!)</f>
        <v>#REF!</v>
      </c>
      <c r="H198" s="68" t="e">
        <f t="shared" si="33"/>
        <v>#REF!</v>
      </c>
      <c r="I198" s="69" t="e">
        <f t="shared" si="34"/>
        <v>#REF!</v>
      </c>
    </row>
    <row r="199" spans="1:9" x14ac:dyDescent="0.25">
      <c r="A199" s="2">
        <v>143</v>
      </c>
      <c r="B199" s="35" t="e">
        <f>VLOOKUP(A199,#REF!,2,FALSE)</f>
        <v>#REF!</v>
      </c>
      <c r="C199" s="20" t="e">
        <f>VLOOKUP(B199,#REF!,2,FALSE)</f>
        <v>#REF!</v>
      </c>
      <c r="D199" s="66" t="e">
        <f>SUMIF(#REF!,XXXXFinRep!B199,#REF!)</f>
        <v>#REF!</v>
      </c>
      <c r="E199" s="67" t="e">
        <f>SUMIF(#REF!,XXXXFinRep!B199,#REF!)+SUMIF(#REF!,XXXXFinRep!B199,#REF!)</f>
        <v>#REF!</v>
      </c>
      <c r="F199" s="67" t="e">
        <f>SUMIF(#REF!,XXXXFinRep!B199,#REF!)+SUMIF(#REF!,XXXXFinRep!B199,#REF!)</f>
        <v>#REF!</v>
      </c>
      <c r="G199" s="67" t="e">
        <f>SUMIF(#REF!,XXXXFinRep!B199,#REF!)+SUMIF(#REF!,XXXXFinRep!B199,#REF!)</f>
        <v>#REF!</v>
      </c>
      <c r="H199" s="68" t="e">
        <f t="shared" si="33"/>
        <v>#REF!</v>
      </c>
      <c r="I199" s="69" t="e">
        <f t="shared" si="34"/>
        <v>#REF!</v>
      </c>
    </row>
    <row r="200" spans="1:9" x14ac:dyDescent="0.25">
      <c r="A200" s="2">
        <v>144</v>
      </c>
      <c r="B200" s="35" t="e">
        <f>VLOOKUP(A200,#REF!,2,FALSE)</f>
        <v>#REF!</v>
      </c>
      <c r="C200" s="20" t="e">
        <f>VLOOKUP(B200,#REF!,2,FALSE)</f>
        <v>#REF!</v>
      </c>
      <c r="D200" s="66" t="e">
        <f>SUMIF(#REF!,XXXXFinRep!B200,#REF!)</f>
        <v>#REF!</v>
      </c>
      <c r="E200" s="67" t="e">
        <f>SUMIF(#REF!,XXXXFinRep!B200,#REF!)+SUMIF(#REF!,XXXXFinRep!B200,#REF!)</f>
        <v>#REF!</v>
      </c>
      <c r="F200" s="67" t="e">
        <f>SUMIF(#REF!,XXXXFinRep!B200,#REF!)+SUMIF(#REF!,XXXXFinRep!B200,#REF!)</f>
        <v>#REF!</v>
      </c>
      <c r="G200" s="67" t="e">
        <f>SUMIF(#REF!,XXXXFinRep!B200,#REF!)+SUMIF(#REF!,XXXXFinRep!B200,#REF!)</f>
        <v>#REF!</v>
      </c>
      <c r="H200" s="68" t="e">
        <f t="shared" si="33"/>
        <v>#REF!</v>
      </c>
      <c r="I200" s="69" t="e">
        <f t="shared" si="34"/>
        <v>#REF!</v>
      </c>
    </row>
    <row r="201" spans="1:9" x14ac:dyDescent="0.25">
      <c r="A201" s="2">
        <v>145</v>
      </c>
      <c r="B201" s="35" t="e">
        <f>VLOOKUP(A201,#REF!,2,FALSE)</f>
        <v>#REF!</v>
      </c>
      <c r="C201" s="20" t="e">
        <f>VLOOKUP(B201,#REF!,2,FALSE)</f>
        <v>#REF!</v>
      </c>
      <c r="D201" s="66" t="e">
        <f>SUMIF(#REF!,XXXXFinRep!B201,#REF!)</f>
        <v>#REF!</v>
      </c>
      <c r="E201" s="67" t="e">
        <f>SUMIF(#REF!,XXXXFinRep!B201,#REF!)+SUMIF(#REF!,XXXXFinRep!B201,#REF!)</f>
        <v>#REF!</v>
      </c>
      <c r="F201" s="67" t="e">
        <f>SUMIF(#REF!,XXXXFinRep!B201,#REF!)+SUMIF(#REF!,XXXXFinRep!B201,#REF!)</f>
        <v>#REF!</v>
      </c>
      <c r="G201" s="67" t="e">
        <f>SUMIF(#REF!,XXXXFinRep!B201,#REF!)+SUMIF(#REF!,XXXXFinRep!B201,#REF!)</f>
        <v>#REF!</v>
      </c>
      <c r="H201" s="68" t="e">
        <f t="shared" si="33"/>
        <v>#REF!</v>
      </c>
      <c r="I201" s="69" t="e">
        <f t="shared" si="34"/>
        <v>#REF!</v>
      </c>
    </row>
    <row r="202" spans="1:9" x14ac:dyDescent="0.25">
      <c r="A202" s="2">
        <v>146</v>
      </c>
      <c r="B202" s="35" t="e">
        <f>VLOOKUP(A202,#REF!,2,FALSE)</f>
        <v>#REF!</v>
      </c>
      <c r="C202" s="20" t="e">
        <f>VLOOKUP(B202,#REF!,2,FALSE)</f>
        <v>#REF!</v>
      </c>
      <c r="D202" s="66" t="e">
        <f>SUMIF(#REF!,XXXXFinRep!B202,#REF!)</f>
        <v>#REF!</v>
      </c>
      <c r="E202" s="67" t="e">
        <f>SUMIF(#REF!,XXXXFinRep!B202,#REF!)+SUMIF(#REF!,XXXXFinRep!B202,#REF!)</f>
        <v>#REF!</v>
      </c>
      <c r="F202" s="67" t="e">
        <f>SUMIF(#REF!,XXXXFinRep!B202,#REF!)+SUMIF(#REF!,XXXXFinRep!B202,#REF!)</f>
        <v>#REF!</v>
      </c>
      <c r="G202" s="67" t="e">
        <f>SUMIF(#REF!,XXXXFinRep!B202,#REF!)+SUMIF(#REF!,XXXXFinRep!B202,#REF!)</f>
        <v>#REF!</v>
      </c>
      <c r="H202" s="68" t="e">
        <f t="shared" si="33"/>
        <v>#REF!</v>
      </c>
      <c r="I202" s="69" t="e">
        <f t="shared" si="34"/>
        <v>#REF!</v>
      </c>
    </row>
    <row r="203" spans="1:9" x14ac:dyDescent="0.25">
      <c r="A203" s="2">
        <v>147</v>
      </c>
      <c r="B203" s="35" t="e">
        <f>VLOOKUP(A203,#REF!,2,FALSE)</f>
        <v>#REF!</v>
      </c>
      <c r="C203" s="20" t="e">
        <f>VLOOKUP(B203,#REF!,2,FALSE)</f>
        <v>#REF!</v>
      </c>
      <c r="D203" s="66" t="e">
        <f>SUMIF(#REF!,XXXXFinRep!B203,#REF!)</f>
        <v>#REF!</v>
      </c>
      <c r="E203" s="67" t="e">
        <f>SUMIF(#REF!,XXXXFinRep!B203,#REF!)+SUMIF(#REF!,XXXXFinRep!B203,#REF!)</f>
        <v>#REF!</v>
      </c>
      <c r="F203" s="67" t="e">
        <f>SUMIF(#REF!,XXXXFinRep!B203,#REF!)+SUMIF(#REF!,XXXXFinRep!B203,#REF!)</f>
        <v>#REF!</v>
      </c>
      <c r="G203" s="67" t="e">
        <f>SUMIF(#REF!,XXXXFinRep!B203,#REF!)+SUMIF(#REF!,XXXXFinRep!B203,#REF!)</f>
        <v>#REF!</v>
      </c>
      <c r="H203" s="68" t="e">
        <f t="shared" si="33"/>
        <v>#REF!</v>
      </c>
      <c r="I203" s="69" t="e">
        <f t="shared" si="34"/>
        <v>#REF!</v>
      </c>
    </row>
    <row r="204" spans="1:9" x14ac:dyDescent="0.25">
      <c r="A204" s="2">
        <v>148</v>
      </c>
      <c r="B204" s="35" t="e">
        <f>VLOOKUP(A204,#REF!,2,FALSE)</f>
        <v>#REF!</v>
      </c>
      <c r="C204" s="20" t="e">
        <f>VLOOKUP(B204,#REF!,2,FALSE)</f>
        <v>#REF!</v>
      </c>
      <c r="D204" s="66" t="e">
        <f>SUMIF(#REF!,XXXXFinRep!B204,#REF!)</f>
        <v>#REF!</v>
      </c>
      <c r="E204" s="67" t="e">
        <f>SUMIF(#REF!,XXXXFinRep!B204,#REF!)+SUMIF(#REF!,XXXXFinRep!B204,#REF!)</f>
        <v>#REF!</v>
      </c>
      <c r="F204" s="67" t="e">
        <f>SUMIF(#REF!,XXXXFinRep!B204,#REF!)+SUMIF(#REF!,XXXXFinRep!B204,#REF!)</f>
        <v>#REF!</v>
      </c>
      <c r="G204" s="67" t="e">
        <f>SUMIF(#REF!,XXXXFinRep!B204,#REF!)+SUMIF(#REF!,XXXXFinRep!B204,#REF!)</f>
        <v>#REF!</v>
      </c>
      <c r="H204" s="68" t="e">
        <f t="shared" si="33"/>
        <v>#REF!</v>
      </c>
      <c r="I204" s="69" t="e">
        <f t="shared" si="34"/>
        <v>#REF!</v>
      </c>
    </row>
    <row r="205" spans="1:9" x14ac:dyDescent="0.25">
      <c r="A205" s="2">
        <v>149</v>
      </c>
      <c r="B205" s="35" t="e">
        <f>VLOOKUP(A205,#REF!,2,FALSE)</f>
        <v>#REF!</v>
      </c>
      <c r="C205" s="20" t="e">
        <f>VLOOKUP(B205,#REF!,2,FALSE)</f>
        <v>#REF!</v>
      </c>
      <c r="D205" s="66" t="e">
        <f>SUMIF(#REF!,XXXXFinRep!B205,#REF!)</f>
        <v>#REF!</v>
      </c>
      <c r="E205" s="67" t="e">
        <f>SUMIF(#REF!,XXXXFinRep!B205,#REF!)+SUMIF(#REF!,XXXXFinRep!B205,#REF!)</f>
        <v>#REF!</v>
      </c>
      <c r="F205" s="67" t="e">
        <f>SUMIF(#REF!,XXXXFinRep!B205,#REF!)+SUMIF(#REF!,XXXXFinRep!B205,#REF!)</f>
        <v>#REF!</v>
      </c>
      <c r="G205" s="67" t="e">
        <f>SUMIF(#REF!,XXXXFinRep!B205,#REF!)+SUMIF(#REF!,XXXXFinRep!B205,#REF!)</f>
        <v>#REF!</v>
      </c>
      <c r="H205" s="68" t="e">
        <f t="shared" si="33"/>
        <v>#REF!</v>
      </c>
      <c r="I205" s="69" t="e">
        <f t="shared" si="34"/>
        <v>#REF!</v>
      </c>
    </row>
    <row r="206" spans="1:9" x14ac:dyDescent="0.25">
      <c r="A206" s="2">
        <v>150</v>
      </c>
      <c r="B206" s="35" t="e">
        <f>VLOOKUP(A206,#REF!,2,FALSE)</f>
        <v>#REF!</v>
      </c>
      <c r="C206" s="20" t="e">
        <f>VLOOKUP(B206,#REF!,2,FALSE)</f>
        <v>#REF!</v>
      </c>
      <c r="D206" s="66" t="e">
        <f>SUMIF(#REF!,XXXXFinRep!B206,#REF!)</f>
        <v>#REF!</v>
      </c>
      <c r="E206" s="67" t="e">
        <f>SUMIF(#REF!,XXXXFinRep!B206,#REF!)+SUMIF(#REF!,XXXXFinRep!B206,#REF!)</f>
        <v>#REF!</v>
      </c>
      <c r="F206" s="67" t="e">
        <f>SUMIF(#REF!,XXXXFinRep!B206,#REF!)+SUMIF(#REF!,XXXXFinRep!B206,#REF!)</f>
        <v>#REF!</v>
      </c>
      <c r="G206" s="67" t="e">
        <f>SUMIF(#REF!,XXXXFinRep!B206,#REF!)+SUMIF(#REF!,XXXXFinRep!B206,#REF!)</f>
        <v>#REF!</v>
      </c>
      <c r="H206" s="68" t="e">
        <f t="shared" si="33"/>
        <v>#REF!</v>
      </c>
      <c r="I206" s="69" t="e">
        <f t="shared" si="34"/>
        <v>#REF!</v>
      </c>
    </row>
    <row r="207" spans="1:9" x14ac:dyDescent="0.25">
      <c r="B207" s="21" t="s">
        <v>143</v>
      </c>
      <c r="C207" s="28" t="s">
        <v>93</v>
      </c>
      <c r="D207" s="78" t="e">
        <f>SUM(D197:D206)</f>
        <v>#REF!</v>
      </c>
      <c r="E207" s="78" t="e">
        <f t="shared" ref="E207:I207" si="35">SUM(E197:E206)</f>
        <v>#REF!</v>
      </c>
      <c r="F207" s="78" t="e">
        <f t="shared" si="35"/>
        <v>#REF!</v>
      </c>
      <c r="G207" s="78" t="e">
        <f t="shared" si="35"/>
        <v>#REF!</v>
      </c>
      <c r="H207" s="78" t="e">
        <f t="shared" si="35"/>
        <v>#REF!</v>
      </c>
      <c r="I207" s="78" t="e">
        <f t="shared" si="35"/>
        <v>#REF!</v>
      </c>
    </row>
    <row r="208" spans="1:9" x14ac:dyDescent="0.25">
      <c r="B208" s="23"/>
      <c r="D208" s="66"/>
      <c r="E208" s="67"/>
      <c r="F208" s="67"/>
      <c r="G208" s="67"/>
      <c r="H208" s="68"/>
      <c r="I208" s="69"/>
    </row>
    <row r="209" spans="1:9" x14ac:dyDescent="0.25">
      <c r="B209" s="23"/>
      <c r="C209" s="27" t="s">
        <v>94</v>
      </c>
      <c r="D209" s="66"/>
      <c r="E209" s="67"/>
      <c r="F209" s="67"/>
      <c r="G209" s="67"/>
      <c r="H209" s="68"/>
      <c r="I209" s="69"/>
    </row>
    <row r="210" spans="1:9" x14ac:dyDescent="0.25">
      <c r="A210" s="2">
        <v>151</v>
      </c>
      <c r="B210" s="35" t="e">
        <f>VLOOKUP(A210,#REF!,2,FALSE)</f>
        <v>#REF!</v>
      </c>
      <c r="C210" s="20" t="e">
        <f>VLOOKUP(B210,#REF!,2,FALSE)</f>
        <v>#REF!</v>
      </c>
      <c r="D210" s="66" t="e">
        <f>SUMIF(#REF!,XXXXFinRep!B210,#REF!)</f>
        <v>#REF!</v>
      </c>
      <c r="E210" s="67" t="e">
        <f>SUMIF(#REF!,XXXXFinRep!B210,#REF!)+SUMIF(#REF!,XXXXFinRep!B210,#REF!)</f>
        <v>#REF!</v>
      </c>
      <c r="F210" s="67" t="e">
        <f>SUMIF(#REF!,XXXXFinRep!B210,#REF!)+SUMIF(#REF!,XXXXFinRep!B210,#REF!)</f>
        <v>#REF!</v>
      </c>
      <c r="G210" s="67" t="e">
        <f>SUMIF(#REF!,XXXXFinRep!B210,#REF!)+SUMIF(#REF!,XXXXFinRep!B210,#REF!)</f>
        <v>#REF!</v>
      </c>
      <c r="H210" s="68" t="e">
        <f t="shared" ref="H210:H219" si="36">SUM(E210,F210,G210)</f>
        <v>#REF!</v>
      </c>
      <c r="I210" s="69" t="e">
        <f t="shared" ref="I210:I219" si="37">SUM(D210-H210)</f>
        <v>#REF!</v>
      </c>
    </row>
    <row r="211" spans="1:9" x14ac:dyDescent="0.25">
      <c r="A211" s="2">
        <v>152</v>
      </c>
      <c r="B211" s="35" t="e">
        <f>VLOOKUP(A211,#REF!,2,FALSE)</f>
        <v>#REF!</v>
      </c>
      <c r="C211" s="20" t="e">
        <f>VLOOKUP(B211,#REF!,2,FALSE)</f>
        <v>#REF!</v>
      </c>
      <c r="D211" s="66" t="e">
        <f>SUMIF(#REF!,XXXXFinRep!B211,#REF!)</f>
        <v>#REF!</v>
      </c>
      <c r="E211" s="67" t="e">
        <f>SUMIF(#REF!,XXXXFinRep!B211,#REF!)+SUMIF(#REF!,XXXXFinRep!B211,#REF!)</f>
        <v>#REF!</v>
      </c>
      <c r="F211" s="67" t="e">
        <f>SUMIF(#REF!,XXXXFinRep!B211,#REF!)+SUMIF(#REF!,XXXXFinRep!B211,#REF!)</f>
        <v>#REF!</v>
      </c>
      <c r="G211" s="67" t="e">
        <f>SUMIF(#REF!,XXXXFinRep!B211,#REF!)+SUMIF(#REF!,XXXXFinRep!B211,#REF!)</f>
        <v>#REF!</v>
      </c>
      <c r="H211" s="68" t="e">
        <f t="shared" si="36"/>
        <v>#REF!</v>
      </c>
      <c r="I211" s="69" t="e">
        <f t="shared" si="37"/>
        <v>#REF!</v>
      </c>
    </row>
    <row r="212" spans="1:9" x14ac:dyDescent="0.25">
      <c r="A212" s="2">
        <v>153</v>
      </c>
      <c r="B212" s="35" t="e">
        <f>VLOOKUP(A212,#REF!,2,FALSE)</f>
        <v>#REF!</v>
      </c>
      <c r="C212" s="20" t="e">
        <f>VLOOKUP(B212,#REF!,2,FALSE)</f>
        <v>#REF!</v>
      </c>
      <c r="D212" s="66" t="e">
        <f>SUMIF(#REF!,XXXXFinRep!B212,#REF!)</f>
        <v>#REF!</v>
      </c>
      <c r="E212" s="67" t="e">
        <f>SUMIF(#REF!,XXXXFinRep!B212,#REF!)+SUMIF(#REF!,XXXXFinRep!B212,#REF!)</f>
        <v>#REF!</v>
      </c>
      <c r="F212" s="67" t="e">
        <f>SUMIF(#REF!,XXXXFinRep!B212,#REF!)+SUMIF(#REF!,XXXXFinRep!B212,#REF!)</f>
        <v>#REF!</v>
      </c>
      <c r="G212" s="67" t="e">
        <f>SUMIF(#REF!,XXXXFinRep!B212,#REF!)+SUMIF(#REF!,XXXXFinRep!B212,#REF!)</f>
        <v>#REF!</v>
      </c>
      <c r="H212" s="68" t="e">
        <f t="shared" si="36"/>
        <v>#REF!</v>
      </c>
      <c r="I212" s="69" t="e">
        <f t="shared" si="37"/>
        <v>#REF!</v>
      </c>
    </row>
    <row r="213" spans="1:9" x14ac:dyDescent="0.25">
      <c r="A213" s="2">
        <v>154</v>
      </c>
      <c r="B213" s="35" t="e">
        <f>VLOOKUP(A213,#REF!,2,FALSE)</f>
        <v>#REF!</v>
      </c>
      <c r="C213" s="20" t="e">
        <f>VLOOKUP(B213,#REF!,2,FALSE)</f>
        <v>#REF!</v>
      </c>
      <c r="D213" s="66" t="e">
        <f>SUMIF(#REF!,XXXXFinRep!B213,#REF!)</f>
        <v>#REF!</v>
      </c>
      <c r="E213" s="67" t="e">
        <f>SUMIF(#REF!,XXXXFinRep!B213,#REF!)+SUMIF(#REF!,XXXXFinRep!B213,#REF!)</f>
        <v>#REF!</v>
      </c>
      <c r="F213" s="67" t="e">
        <f>SUMIF(#REF!,XXXXFinRep!B213,#REF!)+SUMIF(#REF!,XXXXFinRep!B213,#REF!)</f>
        <v>#REF!</v>
      </c>
      <c r="G213" s="67" t="e">
        <f>SUMIF(#REF!,XXXXFinRep!B213,#REF!)+SUMIF(#REF!,XXXXFinRep!B213,#REF!)</f>
        <v>#REF!</v>
      </c>
      <c r="H213" s="68" t="e">
        <f t="shared" si="36"/>
        <v>#REF!</v>
      </c>
      <c r="I213" s="69" t="e">
        <f t="shared" si="37"/>
        <v>#REF!</v>
      </c>
    </row>
    <row r="214" spans="1:9" x14ac:dyDescent="0.25">
      <c r="A214" s="2">
        <v>155</v>
      </c>
      <c r="B214" s="35" t="e">
        <f>VLOOKUP(A214,#REF!,2,FALSE)</f>
        <v>#REF!</v>
      </c>
      <c r="C214" s="20" t="e">
        <f>VLOOKUP(B214,#REF!,2,FALSE)</f>
        <v>#REF!</v>
      </c>
      <c r="D214" s="66" t="e">
        <f>SUMIF(#REF!,XXXXFinRep!B214,#REF!)</f>
        <v>#REF!</v>
      </c>
      <c r="E214" s="67" t="e">
        <f>SUMIF(#REF!,XXXXFinRep!B214,#REF!)+SUMIF(#REF!,XXXXFinRep!B214,#REF!)</f>
        <v>#REF!</v>
      </c>
      <c r="F214" s="67" t="e">
        <f>SUMIF(#REF!,XXXXFinRep!B214,#REF!)+SUMIF(#REF!,XXXXFinRep!B214,#REF!)</f>
        <v>#REF!</v>
      </c>
      <c r="G214" s="67" t="e">
        <f>SUMIF(#REF!,XXXXFinRep!B214,#REF!)+SUMIF(#REF!,XXXXFinRep!B214,#REF!)</f>
        <v>#REF!</v>
      </c>
      <c r="H214" s="68" t="e">
        <f t="shared" si="36"/>
        <v>#REF!</v>
      </c>
      <c r="I214" s="69" t="e">
        <f t="shared" si="37"/>
        <v>#REF!</v>
      </c>
    </row>
    <row r="215" spans="1:9" x14ac:dyDescent="0.25">
      <c r="A215" s="2">
        <v>156</v>
      </c>
      <c r="B215" s="35" t="e">
        <f>VLOOKUP(A215,#REF!,2,FALSE)</f>
        <v>#REF!</v>
      </c>
      <c r="C215" s="20" t="e">
        <f>VLOOKUP(B215,#REF!,2,FALSE)</f>
        <v>#REF!</v>
      </c>
      <c r="D215" s="66" t="e">
        <f>SUMIF(#REF!,XXXXFinRep!B215,#REF!)</f>
        <v>#REF!</v>
      </c>
      <c r="E215" s="67" t="e">
        <f>SUMIF(#REF!,XXXXFinRep!B215,#REF!)+SUMIF(#REF!,XXXXFinRep!B215,#REF!)</f>
        <v>#REF!</v>
      </c>
      <c r="F215" s="67" t="e">
        <f>SUMIF(#REF!,XXXXFinRep!B215,#REF!)+SUMIF(#REF!,XXXXFinRep!B215,#REF!)</f>
        <v>#REF!</v>
      </c>
      <c r="G215" s="67" t="e">
        <f>SUMIF(#REF!,XXXXFinRep!B215,#REF!)+SUMIF(#REF!,XXXXFinRep!B215,#REF!)</f>
        <v>#REF!</v>
      </c>
      <c r="H215" s="68" t="e">
        <f t="shared" si="36"/>
        <v>#REF!</v>
      </c>
      <c r="I215" s="69" t="e">
        <f t="shared" si="37"/>
        <v>#REF!</v>
      </c>
    </row>
    <row r="216" spans="1:9" x14ac:dyDescent="0.25">
      <c r="A216" s="2">
        <v>157</v>
      </c>
      <c r="B216" s="35" t="e">
        <f>VLOOKUP(A216,#REF!,2,FALSE)</f>
        <v>#REF!</v>
      </c>
      <c r="C216" s="20" t="e">
        <f>VLOOKUP(B216,#REF!,2,FALSE)</f>
        <v>#REF!</v>
      </c>
      <c r="D216" s="66" t="e">
        <f>SUMIF(#REF!,XXXXFinRep!B216,#REF!)</f>
        <v>#REF!</v>
      </c>
      <c r="E216" s="67" t="e">
        <f>SUMIF(#REF!,XXXXFinRep!B216,#REF!)+SUMIF(#REF!,XXXXFinRep!B216,#REF!)</f>
        <v>#REF!</v>
      </c>
      <c r="F216" s="67" t="e">
        <f>SUMIF(#REF!,XXXXFinRep!B216,#REF!)+SUMIF(#REF!,XXXXFinRep!B216,#REF!)</f>
        <v>#REF!</v>
      </c>
      <c r="G216" s="67" t="e">
        <f>SUMIF(#REF!,XXXXFinRep!B216,#REF!)+SUMIF(#REF!,XXXXFinRep!B216,#REF!)</f>
        <v>#REF!</v>
      </c>
      <c r="H216" s="68" t="e">
        <f t="shared" si="36"/>
        <v>#REF!</v>
      </c>
      <c r="I216" s="69" t="e">
        <f t="shared" si="37"/>
        <v>#REF!</v>
      </c>
    </row>
    <row r="217" spans="1:9" x14ac:dyDescent="0.25">
      <c r="A217" s="2">
        <v>158</v>
      </c>
      <c r="B217" s="35" t="e">
        <f>VLOOKUP(A217,#REF!,2,FALSE)</f>
        <v>#REF!</v>
      </c>
      <c r="C217" s="20" t="e">
        <f>VLOOKUP(B217,#REF!,2,FALSE)</f>
        <v>#REF!</v>
      </c>
      <c r="D217" s="66" t="e">
        <f>SUMIF(#REF!,XXXXFinRep!B217,#REF!)</f>
        <v>#REF!</v>
      </c>
      <c r="E217" s="67" t="e">
        <f>SUMIF(#REF!,XXXXFinRep!B217,#REF!)+SUMIF(#REF!,XXXXFinRep!B217,#REF!)</f>
        <v>#REF!</v>
      </c>
      <c r="F217" s="67" t="e">
        <f>SUMIF(#REF!,XXXXFinRep!B217,#REF!)+SUMIF(#REF!,XXXXFinRep!B217,#REF!)</f>
        <v>#REF!</v>
      </c>
      <c r="G217" s="67" t="e">
        <f>SUMIF(#REF!,XXXXFinRep!B217,#REF!)+SUMIF(#REF!,XXXXFinRep!B217,#REF!)</f>
        <v>#REF!</v>
      </c>
      <c r="H217" s="68" t="e">
        <f t="shared" si="36"/>
        <v>#REF!</v>
      </c>
      <c r="I217" s="69" t="e">
        <f t="shared" si="37"/>
        <v>#REF!</v>
      </c>
    </row>
    <row r="218" spans="1:9" x14ac:dyDescent="0.25">
      <c r="A218" s="2">
        <v>159</v>
      </c>
      <c r="B218" s="35" t="e">
        <f>VLOOKUP(A218,#REF!,2,FALSE)</f>
        <v>#REF!</v>
      </c>
      <c r="C218" s="20" t="e">
        <f>VLOOKUP(B218,#REF!,2,FALSE)</f>
        <v>#REF!</v>
      </c>
      <c r="D218" s="66" t="e">
        <f>SUMIF(#REF!,XXXXFinRep!B218,#REF!)</f>
        <v>#REF!</v>
      </c>
      <c r="E218" s="67" t="e">
        <f>SUMIF(#REF!,XXXXFinRep!B218,#REF!)+SUMIF(#REF!,XXXXFinRep!B218,#REF!)</f>
        <v>#REF!</v>
      </c>
      <c r="F218" s="67" t="e">
        <f>SUMIF(#REF!,XXXXFinRep!B218,#REF!)+SUMIF(#REF!,XXXXFinRep!B218,#REF!)</f>
        <v>#REF!</v>
      </c>
      <c r="G218" s="67" t="e">
        <f>SUMIF(#REF!,XXXXFinRep!B218,#REF!)+SUMIF(#REF!,XXXXFinRep!B218,#REF!)</f>
        <v>#REF!</v>
      </c>
      <c r="H218" s="68" t="e">
        <f t="shared" si="36"/>
        <v>#REF!</v>
      </c>
      <c r="I218" s="69" t="e">
        <f t="shared" si="37"/>
        <v>#REF!</v>
      </c>
    </row>
    <row r="219" spans="1:9" x14ac:dyDescent="0.25">
      <c r="A219" s="2">
        <v>160</v>
      </c>
      <c r="B219" s="35" t="e">
        <f>VLOOKUP(A219,#REF!,2,FALSE)</f>
        <v>#REF!</v>
      </c>
      <c r="C219" s="20" t="e">
        <f>VLOOKUP(B219,#REF!,2,FALSE)</f>
        <v>#REF!</v>
      </c>
      <c r="D219" s="66" t="e">
        <f>SUMIF(#REF!,XXXXFinRep!B219,#REF!)</f>
        <v>#REF!</v>
      </c>
      <c r="E219" s="67" t="e">
        <f>SUMIF(#REF!,XXXXFinRep!B219,#REF!)+SUMIF(#REF!,XXXXFinRep!B219,#REF!)</f>
        <v>#REF!</v>
      </c>
      <c r="F219" s="67" t="e">
        <f>SUMIF(#REF!,XXXXFinRep!B219,#REF!)+SUMIF(#REF!,XXXXFinRep!B219,#REF!)</f>
        <v>#REF!</v>
      </c>
      <c r="G219" s="67" t="e">
        <f>SUMIF(#REF!,XXXXFinRep!B219,#REF!)+SUMIF(#REF!,XXXXFinRep!B219,#REF!)</f>
        <v>#REF!</v>
      </c>
      <c r="H219" s="68" t="e">
        <f t="shared" si="36"/>
        <v>#REF!</v>
      </c>
      <c r="I219" s="69" t="e">
        <f t="shared" si="37"/>
        <v>#REF!</v>
      </c>
    </row>
    <row r="220" spans="1:9" x14ac:dyDescent="0.25">
      <c r="B220" s="21" t="s">
        <v>144</v>
      </c>
      <c r="C220" s="28" t="s">
        <v>163</v>
      </c>
      <c r="D220" s="78" t="e">
        <f>SUM(D210:D219)</f>
        <v>#REF!</v>
      </c>
      <c r="E220" s="78" t="e">
        <f t="shared" ref="E220:I220" si="38">SUM(E210:E219)</f>
        <v>#REF!</v>
      </c>
      <c r="F220" s="78" t="e">
        <f t="shared" si="38"/>
        <v>#REF!</v>
      </c>
      <c r="G220" s="78" t="e">
        <f t="shared" si="38"/>
        <v>#REF!</v>
      </c>
      <c r="H220" s="78" t="e">
        <f t="shared" si="38"/>
        <v>#REF!</v>
      </c>
      <c r="I220" s="78" t="e">
        <f t="shared" si="38"/>
        <v>#REF!</v>
      </c>
    </row>
    <row r="221" spans="1:9" x14ac:dyDescent="0.25">
      <c r="B221" s="23"/>
      <c r="D221" s="66"/>
      <c r="E221" s="67"/>
      <c r="F221" s="67"/>
      <c r="G221" s="67"/>
      <c r="H221" s="68"/>
      <c r="I221" s="69"/>
    </row>
    <row r="222" spans="1:9" x14ac:dyDescent="0.25">
      <c r="B222" s="23"/>
      <c r="C222" s="27" t="s">
        <v>98</v>
      </c>
      <c r="D222" s="66"/>
      <c r="E222" s="67"/>
      <c r="F222" s="67"/>
      <c r="G222" s="67"/>
      <c r="H222" s="68"/>
      <c r="I222" s="69"/>
    </row>
    <row r="223" spans="1:9" x14ac:dyDescent="0.25">
      <c r="B223" s="23" t="s">
        <v>164</v>
      </c>
      <c r="C223" s="36"/>
      <c r="D223" s="66"/>
      <c r="E223" s="67"/>
      <c r="F223" s="67"/>
      <c r="G223" s="67"/>
      <c r="H223" s="68"/>
      <c r="I223" s="69"/>
    </row>
    <row r="224" spans="1:9" x14ac:dyDescent="0.25">
      <c r="A224" s="2">
        <v>161</v>
      </c>
      <c r="B224" s="23" t="e">
        <f>VLOOKUP(A224,#REF!,2,FALSE)</f>
        <v>#REF!</v>
      </c>
      <c r="C224" s="20" t="e">
        <f>VLOOKUP(B224,#REF!,2,FALSE)</f>
        <v>#REF!</v>
      </c>
      <c r="D224" s="66" t="e">
        <f>SUMIF(#REF!,XXXXFinRep!B224,#REF!)</f>
        <v>#REF!</v>
      </c>
      <c r="E224" s="67" t="e">
        <f>SUMIF(#REF!,XXXXFinRep!B224,#REF!)+SUMIF(#REF!,XXXXFinRep!B224,#REF!)</f>
        <v>#REF!</v>
      </c>
      <c r="F224" s="67" t="e">
        <f>SUMIF(#REF!,XXXXFinRep!B224,#REF!)+SUMIF(#REF!,XXXXFinRep!B224,#REF!)</f>
        <v>#REF!</v>
      </c>
      <c r="G224" s="67" t="e">
        <f>SUMIF(#REF!,XXXXFinRep!B224,#REF!)+SUMIF(#REF!,XXXXFinRep!B224,#REF!)</f>
        <v>#REF!</v>
      </c>
      <c r="H224" s="68" t="e">
        <f t="shared" ref="H224:H233" si="39">SUM(E224,F224,G224)</f>
        <v>#REF!</v>
      </c>
      <c r="I224" s="69" t="e">
        <f t="shared" ref="I224:I233" si="40">SUM(D224-H224)</f>
        <v>#REF!</v>
      </c>
    </row>
    <row r="225" spans="1:9" x14ac:dyDescent="0.25">
      <c r="A225" s="2">
        <v>162</v>
      </c>
      <c r="B225" s="23" t="e">
        <f>VLOOKUP(A225,#REF!,2,FALSE)</f>
        <v>#REF!</v>
      </c>
      <c r="C225" s="20" t="e">
        <f>VLOOKUP(B225,#REF!,2,FALSE)</f>
        <v>#REF!</v>
      </c>
      <c r="D225" s="66" t="e">
        <f>SUMIF(#REF!,XXXXFinRep!B225,#REF!)</f>
        <v>#REF!</v>
      </c>
      <c r="E225" s="67" t="e">
        <f>SUMIF(#REF!,XXXXFinRep!B225,#REF!)+SUMIF(#REF!,XXXXFinRep!B225,#REF!)</f>
        <v>#REF!</v>
      </c>
      <c r="F225" s="67" t="e">
        <f>SUMIF(#REF!,XXXXFinRep!B225,#REF!)+SUMIF(#REF!,XXXXFinRep!B225,#REF!)</f>
        <v>#REF!</v>
      </c>
      <c r="G225" s="67" t="e">
        <f>SUMIF(#REF!,XXXXFinRep!B225,#REF!)+SUMIF(#REF!,XXXXFinRep!B225,#REF!)</f>
        <v>#REF!</v>
      </c>
      <c r="H225" s="68" t="e">
        <f t="shared" si="39"/>
        <v>#REF!</v>
      </c>
      <c r="I225" s="69" t="e">
        <f t="shared" si="40"/>
        <v>#REF!</v>
      </c>
    </row>
    <row r="226" spans="1:9" x14ac:dyDescent="0.25">
      <c r="A226" s="2">
        <v>163</v>
      </c>
      <c r="B226" s="23" t="e">
        <f>VLOOKUP(A226,#REF!,2,FALSE)</f>
        <v>#REF!</v>
      </c>
      <c r="C226" s="20" t="e">
        <f>VLOOKUP(B226,#REF!,2,FALSE)</f>
        <v>#REF!</v>
      </c>
      <c r="D226" s="66" t="e">
        <f>SUMIF(#REF!,XXXXFinRep!B226,#REF!)</f>
        <v>#REF!</v>
      </c>
      <c r="E226" s="67" t="e">
        <f>SUMIF(#REF!,XXXXFinRep!B226,#REF!)+SUMIF(#REF!,XXXXFinRep!B226,#REF!)</f>
        <v>#REF!</v>
      </c>
      <c r="F226" s="67" t="e">
        <f>SUMIF(#REF!,XXXXFinRep!B226,#REF!)+SUMIF(#REF!,XXXXFinRep!B226,#REF!)</f>
        <v>#REF!</v>
      </c>
      <c r="G226" s="67" t="e">
        <f>SUMIF(#REF!,XXXXFinRep!B226,#REF!)+SUMIF(#REF!,XXXXFinRep!B226,#REF!)</f>
        <v>#REF!</v>
      </c>
      <c r="H226" s="68" t="e">
        <f t="shared" si="39"/>
        <v>#REF!</v>
      </c>
      <c r="I226" s="69" t="e">
        <f t="shared" si="40"/>
        <v>#REF!</v>
      </c>
    </row>
    <row r="227" spans="1:9" x14ac:dyDescent="0.25">
      <c r="A227" s="2">
        <v>164</v>
      </c>
      <c r="B227" s="23" t="e">
        <f>VLOOKUP(A227,#REF!,2,FALSE)</f>
        <v>#REF!</v>
      </c>
      <c r="C227" s="20" t="e">
        <f>VLOOKUP(B227,#REF!,2,FALSE)</f>
        <v>#REF!</v>
      </c>
      <c r="D227" s="66" t="e">
        <f>SUMIF(#REF!,XXXXFinRep!B227,#REF!)</f>
        <v>#REF!</v>
      </c>
      <c r="E227" s="67" t="e">
        <f>SUMIF(#REF!,XXXXFinRep!B227,#REF!)+SUMIF(#REF!,XXXXFinRep!B227,#REF!)</f>
        <v>#REF!</v>
      </c>
      <c r="F227" s="67" t="e">
        <f>SUMIF(#REF!,XXXXFinRep!B227,#REF!)+SUMIF(#REF!,XXXXFinRep!B227,#REF!)</f>
        <v>#REF!</v>
      </c>
      <c r="G227" s="67" t="e">
        <f>SUMIF(#REF!,XXXXFinRep!B227,#REF!)+SUMIF(#REF!,XXXXFinRep!B227,#REF!)</f>
        <v>#REF!</v>
      </c>
      <c r="H227" s="68" t="e">
        <f t="shared" si="39"/>
        <v>#REF!</v>
      </c>
      <c r="I227" s="69" t="e">
        <f t="shared" si="40"/>
        <v>#REF!</v>
      </c>
    </row>
    <row r="228" spans="1:9" x14ac:dyDescent="0.25">
      <c r="A228" s="2">
        <v>165</v>
      </c>
      <c r="B228" s="23" t="e">
        <f>VLOOKUP(A228,#REF!,2,FALSE)</f>
        <v>#REF!</v>
      </c>
      <c r="C228" s="20" t="e">
        <f>VLOOKUP(B228,#REF!,2,FALSE)</f>
        <v>#REF!</v>
      </c>
      <c r="D228" s="66" t="e">
        <f>SUMIF(#REF!,XXXXFinRep!B228,#REF!)</f>
        <v>#REF!</v>
      </c>
      <c r="E228" s="67" t="e">
        <f>SUMIF(#REF!,XXXXFinRep!B228,#REF!)+SUMIF(#REF!,XXXXFinRep!B228,#REF!)</f>
        <v>#REF!</v>
      </c>
      <c r="F228" s="67" t="e">
        <f>SUMIF(#REF!,XXXXFinRep!B228,#REF!)+SUMIF(#REF!,XXXXFinRep!B228,#REF!)</f>
        <v>#REF!</v>
      </c>
      <c r="G228" s="67" t="e">
        <f>SUMIF(#REF!,XXXXFinRep!B228,#REF!)+SUMIF(#REF!,XXXXFinRep!B228,#REF!)</f>
        <v>#REF!</v>
      </c>
      <c r="H228" s="68" t="e">
        <f t="shared" si="39"/>
        <v>#REF!</v>
      </c>
      <c r="I228" s="69" t="e">
        <f t="shared" si="40"/>
        <v>#REF!</v>
      </c>
    </row>
    <row r="229" spans="1:9" x14ac:dyDescent="0.25">
      <c r="A229" s="2">
        <v>166</v>
      </c>
      <c r="B229" s="23" t="e">
        <f>VLOOKUP(A229,#REF!,2,FALSE)</f>
        <v>#REF!</v>
      </c>
      <c r="C229" s="20" t="e">
        <f>VLOOKUP(B229,#REF!,2,FALSE)</f>
        <v>#REF!</v>
      </c>
      <c r="D229" s="66" t="e">
        <f>SUMIF(#REF!,XXXXFinRep!B229,#REF!)</f>
        <v>#REF!</v>
      </c>
      <c r="E229" s="67" t="e">
        <f>SUMIF(#REF!,XXXXFinRep!B229,#REF!)+SUMIF(#REF!,XXXXFinRep!B229,#REF!)</f>
        <v>#REF!</v>
      </c>
      <c r="F229" s="67" t="e">
        <f>SUMIF(#REF!,XXXXFinRep!B229,#REF!)+SUMIF(#REF!,XXXXFinRep!B229,#REF!)</f>
        <v>#REF!</v>
      </c>
      <c r="G229" s="67" t="e">
        <f>SUMIF(#REF!,XXXXFinRep!B229,#REF!)+SUMIF(#REF!,XXXXFinRep!B229,#REF!)</f>
        <v>#REF!</v>
      </c>
      <c r="H229" s="68" t="e">
        <f t="shared" si="39"/>
        <v>#REF!</v>
      </c>
      <c r="I229" s="69" t="e">
        <f t="shared" si="40"/>
        <v>#REF!</v>
      </c>
    </row>
    <row r="230" spans="1:9" x14ac:dyDescent="0.25">
      <c r="A230" s="2">
        <v>167</v>
      </c>
      <c r="B230" s="23" t="e">
        <f>VLOOKUP(A230,#REF!,2,FALSE)</f>
        <v>#REF!</v>
      </c>
      <c r="C230" s="20" t="e">
        <f>VLOOKUP(B230,#REF!,2,FALSE)</f>
        <v>#REF!</v>
      </c>
      <c r="D230" s="66" t="e">
        <f>SUMIF(#REF!,XXXXFinRep!B230,#REF!)</f>
        <v>#REF!</v>
      </c>
      <c r="E230" s="67" t="e">
        <f>SUMIF(#REF!,XXXXFinRep!B230,#REF!)+SUMIF(#REF!,XXXXFinRep!B230,#REF!)</f>
        <v>#REF!</v>
      </c>
      <c r="F230" s="67" t="e">
        <f>SUMIF(#REF!,XXXXFinRep!B230,#REF!)+SUMIF(#REF!,XXXXFinRep!B230,#REF!)</f>
        <v>#REF!</v>
      </c>
      <c r="G230" s="67" t="e">
        <f>SUMIF(#REF!,XXXXFinRep!B230,#REF!)+SUMIF(#REF!,XXXXFinRep!B230,#REF!)</f>
        <v>#REF!</v>
      </c>
      <c r="H230" s="68" t="e">
        <f t="shared" si="39"/>
        <v>#REF!</v>
      </c>
      <c r="I230" s="69" t="e">
        <f t="shared" si="40"/>
        <v>#REF!</v>
      </c>
    </row>
    <row r="231" spans="1:9" x14ac:dyDescent="0.25">
      <c r="A231" s="2">
        <v>168</v>
      </c>
      <c r="B231" s="23" t="e">
        <f>VLOOKUP(A231,#REF!,2,FALSE)</f>
        <v>#REF!</v>
      </c>
      <c r="C231" s="20" t="e">
        <f>VLOOKUP(B231,#REF!,2,FALSE)</f>
        <v>#REF!</v>
      </c>
      <c r="D231" s="66" t="e">
        <f>SUMIF(#REF!,XXXXFinRep!B231,#REF!)</f>
        <v>#REF!</v>
      </c>
      <c r="E231" s="67" t="e">
        <f>SUMIF(#REF!,XXXXFinRep!B231,#REF!)+SUMIF(#REF!,XXXXFinRep!B231,#REF!)</f>
        <v>#REF!</v>
      </c>
      <c r="F231" s="67" t="e">
        <f>SUMIF(#REF!,XXXXFinRep!B231,#REF!)+SUMIF(#REF!,XXXXFinRep!B231,#REF!)</f>
        <v>#REF!</v>
      </c>
      <c r="G231" s="67" t="e">
        <f>SUMIF(#REF!,XXXXFinRep!B231,#REF!)+SUMIF(#REF!,XXXXFinRep!B231,#REF!)</f>
        <v>#REF!</v>
      </c>
      <c r="H231" s="68" t="e">
        <f t="shared" si="39"/>
        <v>#REF!</v>
      </c>
      <c r="I231" s="69" t="e">
        <f t="shared" si="40"/>
        <v>#REF!</v>
      </c>
    </row>
    <row r="232" spans="1:9" x14ac:dyDescent="0.25">
      <c r="A232" s="2">
        <v>169</v>
      </c>
      <c r="B232" s="23" t="e">
        <f>VLOOKUP(A232,#REF!,2,FALSE)</f>
        <v>#REF!</v>
      </c>
      <c r="C232" s="20" t="e">
        <f>VLOOKUP(B232,#REF!,2,FALSE)</f>
        <v>#REF!</v>
      </c>
      <c r="D232" s="66" t="e">
        <f>SUMIF(#REF!,XXXXFinRep!B232,#REF!)</f>
        <v>#REF!</v>
      </c>
      <c r="E232" s="67" t="e">
        <f>SUMIF(#REF!,XXXXFinRep!B232,#REF!)+SUMIF(#REF!,XXXXFinRep!B232,#REF!)</f>
        <v>#REF!</v>
      </c>
      <c r="F232" s="67" t="e">
        <f>SUMIF(#REF!,XXXXFinRep!B232,#REF!)+SUMIF(#REF!,XXXXFinRep!B232,#REF!)</f>
        <v>#REF!</v>
      </c>
      <c r="G232" s="67" t="e">
        <f>SUMIF(#REF!,XXXXFinRep!B232,#REF!)+SUMIF(#REF!,XXXXFinRep!B232,#REF!)</f>
        <v>#REF!</v>
      </c>
      <c r="H232" s="68" t="e">
        <f t="shared" si="39"/>
        <v>#REF!</v>
      </c>
      <c r="I232" s="69" t="e">
        <f t="shared" si="40"/>
        <v>#REF!</v>
      </c>
    </row>
    <row r="233" spans="1:9" x14ac:dyDescent="0.25">
      <c r="A233" s="2">
        <v>170</v>
      </c>
      <c r="B233" s="23" t="e">
        <f>VLOOKUP(A233,#REF!,2,FALSE)</f>
        <v>#REF!</v>
      </c>
      <c r="C233" s="20" t="e">
        <f>VLOOKUP(B233,#REF!,2,FALSE)</f>
        <v>#REF!</v>
      </c>
      <c r="D233" s="66" t="e">
        <f>SUMIF(#REF!,XXXXFinRep!B233,#REF!)</f>
        <v>#REF!</v>
      </c>
      <c r="E233" s="67" t="e">
        <f>SUMIF(#REF!,XXXXFinRep!B233,#REF!)+SUMIF(#REF!,XXXXFinRep!B233,#REF!)</f>
        <v>#REF!</v>
      </c>
      <c r="F233" s="67" t="e">
        <f>SUMIF(#REF!,XXXXFinRep!B233,#REF!)+SUMIF(#REF!,XXXXFinRep!B233,#REF!)</f>
        <v>#REF!</v>
      </c>
      <c r="G233" s="67" t="e">
        <f>SUMIF(#REF!,XXXXFinRep!B233,#REF!)+SUMIF(#REF!,XXXXFinRep!B233,#REF!)</f>
        <v>#REF!</v>
      </c>
      <c r="H233" s="68" t="e">
        <f t="shared" si="39"/>
        <v>#REF!</v>
      </c>
      <c r="I233" s="69" t="e">
        <f t="shared" si="40"/>
        <v>#REF!</v>
      </c>
    </row>
    <row r="234" spans="1:9" x14ac:dyDescent="0.25">
      <c r="B234" s="23"/>
      <c r="D234" s="66"/>
      <c r="E234" s="67"/>
      <c r="F234" s="67"/>
      <c r="G234" s="67"/>
      <c r="H234" s="68"/>
      <c r="I234" s="69"/>
    </row>
    <row r="235" spans="1:9" x14ac:dyDescent="0.25">
      <c r="B235" s="23" t="s">
        <v>165</v>
      </c>
      <c r="C235" s="36"/>
      <c r="D235" s="66"/>
      <c r="E235" s="67"/>
      <c r="F235" s="67"/>
      <c r="G235" s="67"/>
      <c r="H235" s="68"/>
      <c r="I235" s="69"/>
    </row>
    <row r="236" spans="1:9" x14ac:dyDescent="0.25">
      <c r="A236" s="2">
        <v>171</v>
      </c>
      <c r="B236" s="23" t="e">
        <f>VLOOKUP(A236,#REF!,2,FALSE)</f>
        <v>#REF!</v>
      </c>
      <c r="C236" s="20" t="e">
        <f>VLOOKUP(B236,#REF!,2,FALSE)</f>
        <v>#REF!</v>
      </c>
      <c r="D236" s="66" t="e">
        <f>SUMIF(#REF!,XXXXFinRep!B236,#REF!)</f>
        <v>#REF!</v>
      </c>
      <c r="E236" s="67" t="e">
        <f>SUMIF(#REF!,XXXXFinRep!B236,#REF!)+SUMIF(#REF!,XXXXFinRep!B236,#REF!)</f>
        <v>#REF!</v>
      </c>
      <c r="F236" s="67" t="e">
        <f>SUMIF(#REF!,XXXXFinRep!B236,#REF!)+SUMIF(#REF!,XXXXFinRep!B236,#REF!)</f>
        <v>#REF!</v>
      </c>
      <c r="G236" s="67" t="e">
        <f>SUMIF(#REF!,XXXXFinRep!B236,#REF!)+SUMIF(#REF!,XXXXFinRep!B236,#REF!)</f>
        <v>#REF!</v>
      </c>
      <c r="H236" s="68" t="e">
        <f t="shared" ref="H236:H245" si="41">SUM(E236,F236,G236)</f>
        <v>#REF!</v>
      </c>
      <c r="I236" s="69" t="e">
        <f t="shared" ref="I236:I245" si="42">SUM(D236-H236)</f>
        <v>#REF!</v>
      </c>
    </row>
    <row r="237" spans="1:9" x14ac:dyDescent="0.25">
      <c r="A237" s="2">
        <v>172</v>
      </c>
      <c r="B237" s="23" t="e">
        <f>VLOOKUP(A237,#REF!,2,FALSE)</f>
        <v>#REF!</v>
      </c>
      <c r="C237" s="20" t="e">
        <f>VLOOKUP(B237,#REF!,2,FALSE)</f>
        <v>#REF!</v>
      </c>
      <c r="D237" s="66" t="e">
        <f>SUMIF(#REF!,XXXXFinRep!B237,#REF!)</f>
        <v>#REF!</v>
      </c>
      <c r="E237" s="67" t="e">
        <f>SUMIF(#REF!,XXXXFinRep!B237,#REF!)+SUMIF(#REF!,XXXXFinRep!B237,#REF!)</f>
        <v>#REF!</v>
      </c>
      <c r="F237" s="67" t="e">
        <f>SUMIF(#REF!,XXXXFinRep!B237,#REF!)+SUMIF(#REF!,XXXXFinRep!B237,#REF!)</f>
        <v>#REF!</v>
      </c>
      <c r="G237" s="67" t="e">
        <f>SUMIF(#REF!,XXXXFinRep!B237,#REF!)+SUMIF(#REF!,XXXXFinRep!B237,#REF!)</f>
        <v>#REF!</v>
      </c>
      <c r="H237" s="68" t="e">
        <f t="shared" si="41"/>
        <v>#REF!</v>
      </c>
      <c r="I237" s="69" t="e">
        <f t="shared" si="42"/>
        <v>#REF!</v>
      </c>
    </row>
    <row r="238" spans="1:9" x14ac:dyDescent="0.25">
      <c r="A238" s="2">
        <v>173</v>
      </c>
      <c r="B238" s="23" t="e">
        <f>VLOOKUP(A238,#REF!,2,FALSE)</f>
        <v>#REF!</v>
      </c>
      <c r="C238" s="20" t="e">
        <f>VLOOKUP(B238,#REF!,2,FALSE)</f>
        <v>#REF!</v>
      </c>
      <c r="D238" s="66" t="e">
        <f>SUMIF(#REF!,XXXXFinRep!B238,#REF!)</f>
        <v>#REF!</v>
      </c>
      <c r="E238" s="67" t="e">
        <f>SUMIF(#REF!,XXXXFinRep!B238,#REF!)+SUMIF(#REF!,XXXXFinRep!B238,#REF!)</f>
        <v>#REF!</v>
      </c>
      <c r="F238" s="67" t="e">
        <f>SUMIF(#REF!,XXXXFinRep!B238,#REF!)+SUMIF(#REF!,XXXXFinRep!B238,#REF!)</f>
        <v>#REF!</v>
      </c>
      <c r="G238" s="67" t="e">
        <f>SUMIF(#REF!,XXXXFinRep!B238,#REF!)+SUMIF(#REF!,XXXXFinRep!B238,#REF!)</f>
        <v>#REF!</v>
      </c>
      <c r="H238" s="68" t="e">
        <f t="shared" si="41"/>
        <v>#REF!</v>
      </c>
      <c r="I238" s="69" t="e">
        <f t="shared" si="42"/>
        <v>#REF!</v>
      </c>
    </row>
    <row r="239" spans="1:9" x14ac:dyDescent="0.25">
      <c r="A239" s="2">
        <v>174</v>
      </c>
      <c r="B239" s="23" t="e">
        <f>VLOOKUP(A239,#REF!,2,FALSE)</f>
        <v>#REF!</v>
      </c>
      <c r="C239" s="20" t="e">
        <f>VLOOKUP(B239,#REF!,2,FALSE)</f>
        <v>#REF!</v>
      </c>
      <c r="D239" s="66" t="e">
        <f>SUMIF(#REF!,XXXXFinRep!B239,#REF!)</f>
        <v>#REF!</v>
      </c>
      <c r="E239" s="67" t="e">
        <f>SUMIF(#REF!,XXXXFinRep!B239,#REF!)+SUMIF(#REF!,XXXXFinRep!B239,#REF!)</f>
        <v>#REF!</v>
      </c>
      <c r="F239" s="67" t="e">
        <f>SUMIF(#REF!,XXXXFinRep!B239,#REF!)+SUMIF(#REF!,XXXXFinRep!B239,#REF!)</f>
        <v>#REF!</v>
      </c>
      <c r="G239" s="67" t="e">
        <f>SUMIF(#REF!,XXXXFinRep!B239,#REF!)+SUMIF(#REF!,XXXXFinRep!B239,#REF!)</f>
        <v>#REF!</v>
      </c>
      <c r="H239" s="68" t="e">
        <f t="shared" si="41"/>
        <v>#REF!</v>
      </c>
      <c r="I239" s="69" t="e">
        <f t="shared" si="42"/>
        <v>#REF!</v>
      </c>
    </row>
    <row r="240" spans="1:9" x14ac:dyDescent="0.25">
      <c r="A240" s="2">
        <v>175</v>
      </c>
      <c r="B240" s="23" t="e">
        <f>VLOOKUP(A240,#REF!,2,FALSE)</f>
        <v>#REF!</v>
      </c>
      <c r="C240" s="20" t="e">
        <f>VLOOKUP(B240,#REF!,2,FALSE)</f>
        <v>#REF!</v>
      </c>
      <c r="D240" s="66" t="e">
        <f>SUMIF(#REF!,XXXXFinRep!B240,#REF!)</f>
        <v>#REF!</v>
      </c>
      <c r="E240" s="67" t="e">
        <f>SUMIF(#REF!,XXXXFinRep!B240,#REF!)+SUMIF(#REF!,XXXXFinRep!B240,#REF!)</f>
        <v>#REF!</v>
      </c>
      <c r="F240" s="67" t="e">
        <f>SUMIF(#REF!,XXXXFinRep!B240,#REF!)+SUMIF(#REF!,XXXXFinRep!B240,#REF!)</f>
        <v>#REF!</v>
      </c>
      <c r="G240" s="67" t="e">
        <f>SUMIF(#REF!,XXXXFinRep!B240,#REF!)+SUMIF(#REF!,XXXXFinRep!B240,#REF!)</f>
        <v>#REF!</v>
      </c>
      <c r="H240" s="68" t="e">
        <f t="shared" si="41"/>
        <v>#REF!</v>
      </c>
      <c r="I240" s="69" t="e">
        <f t="shared" si="42"/>
        <v>#REF!</v>
      </c>
    </row>
    <row r="241" spans="1:9" x14ac:dyDescent="0.25">
      <c r="A241" s="2">
        <v>176</v>
      </c>
      <c r="B241" s="23" t="e">
        <f>VLOOKUP(A241,#REF!,2,FALSE)</f>
        <v>#REF!</v>
      </c>
      <c r="C241" s="20" t="e">
        <f>VLOOKUP(B241,#REF!,2,FALSE)</f>
        <v>#REF!</v>
      </c>
      <c r="D241" s="66" t="e">
        <f>SUMIF(#REF!,XXXXFinRep!B241,#REF!)</f>
        <v>#REF!</v>
      </c>
      <c r="E241" s="67" t="e">
        <f>SUMIF(#REF!,XXXXFinRep!B241,#REF!)+SUMIF(#REF!,XXXXFinRep!B241,#REF!)</f>
        <v>#REF!</v>
      </c>
      <c r="F241" s="67" t="e">
        <f>SUMIF(#REF!,XXXXFinRep!B241,#REF!)+SUMIF(#REF!,XXXXFinRep!B241,#REF!)</f>
        <v>#REF!</v>
      </c>
      <c r="G241" s="67" t="e">
        <f>SUMIF(#REF!,XXXXFinRep!B241,#REF!)+SUMIF(#REF!,XXXXFinRep!B241,#REF!)</f>
        <v>#REF!</v>
      </c>
      <c r="H241" s="68" t="e">
        <f t="shared" si="41"/>
        <v>#REF!</v>
      </c>
      <c r="I241" s="69" t="e">
        <f t="shared" si="42"/>
        <v>#REF!</v>
      </c>
    </row>
    <row r="242" spans="1:9" x14ac:dyDescent="0.25">
      <c r="A242" s="2">
        <v>177</v>
      </c>
      <c r="B242" s="23" t="e">
        <f>VLOOKUP(A242,#REF!,2,FALSE)</f>
        <v>#REF!</v>
      </c>
      <c r="C242" s="20" t="e">
        <f>VLOOKUP(B242,#REF!,2,FALSE)</f>
        <v>#REF!</v>
      </c>
      <c r="D242" s="66" t="e">
        <f>SUMIF(#REF!,XXXXFinRep!B242,#REF!)</f>
        <v>#REF!</v>
      </c>
      <c r="E242" s="67" t="e">
        <f>SUMIF(#REF!,XXXXFinRep!B242,#REF!)+SUMIF(#REF!,XXXXFinRep!B242,#REF!)</f>
        <v>#REF!</v>
      </c>
      <c r="F242" s="67" t="e">
        <f>SUMIF(#REF!,XXXXFinRep!B242,#REF!)+SUMIF(#REF!,XXXXFinRep!B242,#REF!)</f>
        <v>#REF!</v>
      </c>
      <c r="G242" s="67" t="e">
        <f>SUMIF(#REF!,XXXXFinRep!B242,#REF!)+SUMIF(#REF!,XXXXFinRep!B242,#REF!)</f>
        <v>#REF!</v>
      </c>
      <c r="H242" s="68" t="e">
        <f t="shared" si="41"/>
        <v>#REF!</v>
      </c>
      <c r="I242" s="69" t="e">
        <f t="shared" si="42"/>
        <v>#REF!</v>
      </c>
    </row>
    <row r="243" spans="1:9" x14ac:dyDescent="0.25">
      <c r="A243" s="2">
        <v>178</v>
      </c>
      <c r="B243" s="23" t="e">
        <f>VLOOKUP(A243,#REF!,2,FALSE)</f>
        <v>#REF!</v>
      </c>
      <c r="C243" s="20" t="e">
        <f>VLOOKUP(B243,#REF!,2,FALSE)</f>
        <v>#REF!</v>
      </c>
      <c r="D243" s="66" t="e">
        <f>SUMIF(#REF!,XXXXFinRep!B243,#REF!)</f>
        <v>#REF!</v>
      </c>
      <c r="E243" s="67" t="e">
        <f>SUMIF(#REF!,XXXXFinRep!B243,#REF!)+SUMIF(#REF!,XXXXFinRep!B243,#REF!)</f>
        <v>#REF!</v>
      </c>
      <c r="F243" s="67" t="e">
        <f>SUMIF(#REF!,XXXXFinRep!B243,#REF!)+SUMIF(#REF!,XXXXFinRep!B243,#REF!)</f>
        <v>#REF!</v>
      </c>
      <c r="G243" s="67" t="e">
        <f>SUMIF(#REF!,XXXXFinRep!B243,#REF!)+SUMIF(#REF!,XXXXFinRep!B243,#REF!)</f>
        <v>#REF!</v>
      </c>
      <c r="H243" s="68" t="e">
        <f t="shared" si="41"/>
        <v>#REF!</v>
      </c>
      <c r="I243" s="69" t="e">
        <f t="shared" si="42"/>
        <v>#REF!</v>
      </c>
    </row>
    <row r="244" spans="1:9" x14ac:dyDescent="0.25">
      <c r="A244" s="2">
        <v>179</v>
      </c>
      <c r="B244" s="23" t="e">
        <f>VLOOKUP(A244,#REF!,2,FALSE)</f>
        <v>#REF!</v>
      </c>
      <c r="C244" s="20" t="e">
        <f>VLOOKUP(B244,#REF!,2,FALSE)</f>
        <v>#REF!</v>
      </c>
      <c r="D244" s="66" t="e">
        <f>SUMIF(#REF!,XXXXFinRep!B244,#REF!)</f>
        <v>#REF!</v>
      </c>
      <c r="E244" s="67" t="e">
        <f>SUMIF(#REF!,XXXXFinRep!B244,#REF!)+SUMIF(#REF!,XXXXFinRep!B244,#REF!)</f>
        <v>#REF!</v>
      </c>
      <c r="F244" s="67" t="e">
        <f>SUMIF(#REF!,XXXXFinRep!B244,#REF!)+SUMIF(#REF!,XXXXFinRep!B244,#REF!)</f>
        <v>#REF!</v>
      </c>
      <c r="G244" s="67" t="e">
        <f>SUMIF(#REF!,XXXXFinRep!B244,#REF!)+SUMIF(#REF!,XXXXFinRep!B244,#REF!)</f>
        <v>#REF!</v>
      </c>
      <c r="H244" s="68" t="e">
        <f t="shared" si="41"/>
        <v>#REF!</v>
      </c>
      <c r="I244" s="69" t="e">
        <f t="shared" si="42"/>
        <v>#REF!</v>
      </c>
    </row>
    <row r="245" spans="1:9" x14ac:dyDescent="0.25">
      <c r="A245" s="2">
        <v>180</v>
      </c>
      <c r="B245" s="23" t="e">
        <f>VLOOKUP(A245,#REF!,2,FALSE)</f>
        <v>#REF!</v>
      </c>
      <c r="C245" s="20" t="e">
        <f>VLOOKUP(B245,#REF!,2,FALSE)</f>
        <v>#REF!</v>
      </c>
      <c r="D245" s="66" t="e">
        <f>SUMIF(#REF!,XXXXFinRep!B245,#REF!)</f>
        <v>#REF!</v>
      </c>
      <c r="E245" s="67" t="e">
        <f>SUMIF(#REF!,XXXXFinRep!B245,#REF!)+SUMIF(#REF!,XXXXFinRep!B245,#REF!)</f>
        <v>#REF!</v>
      </c>
      <c r="F245" s="67" t="e">
        <f>SUMIF(#REF!,XXXXFinRep!B245,#REF!)+SUMIF(#REF!,XXXXFinRep!B245,#REF!)</f>
        <v>#REF!</v>
      </c>
      <c r="G245" s="67" t="e">
        <f>SUMIF(#REF!,XXXXFinRep!B245,#REF!)+SUMIF(#REF!,XXXXFinRep!B245,#REF!)</f>
        <v>#REF!</v>
      </c>
      <c r="H245" s="68" t="e">
        <f t="shared" si="41"/>
        <v>#REF!</v>
      </c>
      <c r="I245" s="69" t="e">
        <f t="shared" si="42"/>
        <v>#REF!</v>
      </c>
    </row>
    <row r="246" spans="1:9" x14ac:dyDescent="0.25">
      <c r="B246" s="26" t="s">
        <v>145</v>
      </c>
      <c r="C246" s="28" t="s">
        <v>103</v>
      </c>
      <c r="D246" s="78" t="e">
        <f>SUM(D224:D245)</f>
        <v>#REF!</v>
      </c>
      <c r="E246" s="78" t="e">
        <f t="shared" ref="E246:I246" si="43">SUM(E224:E245)</f>
        <v>#REF!</v>
      </c>
      <c r="F246" s="78" t="e">
        <f t="shared" si="43"/>
        <v>#REF!</v>
      </c>
      <c r="G246" s="78" t="e">
        <f t="shared" si="43"/>
        <v>#REF!</v>
      </c>
      <c r="H246" s="78" t="e">
        <f t="shared" si="43"/>
        <v>#REF!</v>
      </c>
      <c r="I246" s="78" t="e">
        <f t="shared" si="43"/>
        <v>#REF!</v>
      </c>
    </row>
    <row r="247" spans="1:9" x14ac:dyDescent="0.25">
      <c r="B247" s="19"/>
      <c r="D247" s="66"/>
      <c r="E247" s="67"/>
      <c r="F247" s="67"/>
      <c r="G247" s="67"/>
      <c r="H247" s="68"/>
      <c r="I247" s="69"/>
    </row>
    <row r="248" spans="1:9" x14ac:dyDescent="0.25">
      <c r="B248" s="23"/>
      <c r="C248" s="27" t="s">
        <v>104</v>
      </c>
      <c r="D248" s="66"/>
      <c r="E248" s="67"/>
      <c r="F248" s="67"/>
      <c r="G248" s="67"/>
      <c r="H248" s="68"/>
      <c r="I248" s="69"/>
    </row>
    <row r="249" spans="1:9" x14ac:dyDescent="0.25">
      <c r="A249" s="2">
        <v>181</v>
      </c>
      <c r="B249" s="19" t="e">
        <f>VLOOKUP(A249,#REF!,2,FALSE)</f>
        <v>#REF!</v>
      </c>
      <c r="C249" s="20" t="e">
        <f>VLOOKUP(B249,#REF!,2,FALSE)</f>
        <v>#REF!</v>
      </c>
      <c r="D249" s="66" t="e">
        <f>SUMIF(#REF!,XXXXFinRep!B249,#REF!)</f>
        <v>#REF!</v>
      </c>
      <c r="E249" s="67" t="e">
        <f>SUMIF(#REF!,XXXXFinRep!B249,#REF!)+SUMIF(#REF!,XXXXFinRep!B249,#REF!)</f>
        <v>#REF!</v>
      </c>
      <c r="F249" s="67" t="e">
        <f>SUMIF(#REF!,XXXXFinRep!B249,#REF!)+SUMIF(#REF!,XXXXFinRep!B249,#REF!)</f>
        <v>#REF!</v>
      </c>
      <c r="G249" s="67" t="e">
        <f>SUMIF(#REF!,XXXXFinRep!B249,#REF!)+SUMIF(#REF!,XXXXFinRep!B249,#REF!)</f>
        <v>#REF!</v>
      </c>
      <c r="H249" s="68" t="e">
        <f t="shared" ref="H249:H258" si="44">SUM(E249,F249,G249)</f>
        <v>#REF!</v>
      </c>
      <c r="I249" s="69" t="e">
        <f t="shared" ref="I249:I258" si="45">SUM(D249-H249)</f>
        <v>#REF!</v>
      </c>
    </row>
    <row r="250" spans="1:9" x14ac:dyDescent="0.25">
      <c r="A250" s="2">
        <v>182</v>
      </c>
      <c r="B250" s="19" t="e">
        <f>VLOOKUP(A250,#REF!,2,FALSE)</f>
        <v>#REF!</v>
      </c>
      <c r="C250" s="20" t="e">
        <f>VLOOKUP(B250,#REF!,2,FALSE)</f>
        <v>#REF!</v>
      </c>
      <c r="D250" s="66" t="e">
        <f>SUMIF(#REF!,XXXXFinRep!B250,#REF!)</f>
        <v>#REF!</v>
      </c>
      <c r="E250" s="67" t="e">
        <f>SUMIF(#REF!,XXXXFinRep!B250,#REF!)+SUMIF(#REF!,XXXXFinRep!B250,#REF!)</f>
        <v>#REF!</v>
      </c>
      <c r="F250" s="67" t="e">
        <f>SUMIF(#REF!,XXXXFinRep!B250,#REF!)+SUMIF(#REF!,XXXXFinRep!B250,#REF!)</f>
        <v>#REF!</v>
      </c>
      <c r="G250" s="67" t="e">
        <f>SUMIF(#REF!,XXXXFinRep!B250,#REF!)+SUMIF(#REF!,XXXXFinRep!B250,#REF!)</f>
        <v>#REF!</v>
      </c>
      <c r="H250" s="68" t="e">
        <f t="shared" si="44"/>
        <v>#REF!</v>
      </c>
      <c r="I250" s="69" t="e">
        <f t="shared" si="45"/>
        <v>#REF!</v>
      </c>
    </row>
    <row r="251" spans="1:9" x14ac:dyDescent="0.25">
      <c r="A251" s="2">
        <v>183</v>
      </c>
      <c r="B251" s="19" t="e">
        <f>VLOOKUP(A251,#REF!,2,FALSE)</f>
        <v>#REF!</v>
      </c>
      <c r="C251" s="20" t="e">
        <f>VLOOKUP(B251,#REF!,2,FALSE)</f>
        <v>#REF!</v>
      </c>
      <c r="D251" s="66" t="e">
        <f>SUMIF(#REF!,XXXXFinRep!B251,#REF!)</f>
        <v>#REF!</v>
      </c>
      <c r="E251" s="67" t="e">
        <f>SUMIF(#REF!,XXXXFinRep!B251,#REF!)+SUMIF(#REF!,XXXXFinRep!B251,#REF!)</f>
        <v>#REF!</v>
      </c>
      <c r="F251" s="67" t="e">
        <f>SUMIF(#REF!,XXXXFinRep!B251,#REF!)+SUMIF(#REF!,XXXXFinRep!B251,#REF!)</f>
        <v>#REF!</v>
      </c>
      <c r="G251" s="67" t="e">
        <f>SUMIF(#REF!,XXXXFinRep!B251,#REF!)+SUMIF(#REF!,XXXXFinRep!B251,#REF!)</f>
        <v>#REF!</v>
      </c>
      <c r="H251" s="68" t="e">
        <f t="shared" si="44"/>
        <v>#REF!</v>
      </c>
      <c r="I251" s="69" t="e">
        <f t="shared" si="45"/>
        <v>#REF!</v>
      </c>
    </row>
    <row r="252" spans="1:9" x14ac:dyDescent="0.25">
      <c r="A252" s="2">
        <v>184</v>
      </c>
      <c r="B252" s="19" t="e">
        <f>VLOOKUP(A252,#REF!,2,FALSE)</f>
        <v>#REF!</v>
      </c>
      <c r="C252" s="20" t="e">
        <f>VLOOKUP(B252,#REF!,2,FALSE)</f>
        <v>#REF!</v>
      </c>
      <c r="D252" s="66" t="e">
        <f>SUMIF(#REF!,XXXXFinRep!B252,#REF!)</f>
        <v>#REF!</v>
      </c>
      <c r="E252" s="67" t="e">
        <f>SUMIF(#REF!,XXXXFinRep!B252,#REF!)+SUMIF(#REF!,XXXXFinRep!B252,#REF!)</f>
        <v>#REF!</v>
      </c>
      <c r="F252" s="67" t="e">
        <f>SUMIF(#REF!,XXXXFinRep!B252,#REF!)+SUMIF(#REF!,XXXXFinRep!B252,#REF!)</f>
        <v>#REF!</v>
      </c>
      <c r="G252" s="67" t="e">
        <f>SUMIF(#REF!,XXXXFinRep!B252,#REF!)+SUMIF(#REF!,XXXXFinRep!B252,#REF!)</f>
        <v>#REF!</v>
      </c>
      <c r="H252" s="68" t="e">
        <f t="shared" si="44"/>
        <v>#REF!</v>
      </c>
      <c r="I252" s="69" t="e">
        <f t="shared" si="45"/>
        <v>#REF!</v>
      </c>
    </row>
    <row r="253" spans="1:9" x14ac:dyDescent="0.25">
      <c r="A253" s="2">
        <v>185</v>
      </c>
      <c r="B253" s="19" t="e">
        <f>VLOOKUP(A253,#REF!,2,FALSE)</f>
        <v>#REF!</v>
      </c>
      <c r="C253" s="20" t="e">
        <f>VLOOKUP(B253,#REF!,2,FALSE)</f>
        <v>#REF!</v>
      </c>
      <c r="D253" s="66" t="e">
        <f>SUMIF(#REF!,XXXXFinRep!B253,#REF!)</f>
        <v>#REF!</v>
      </c>
      <c r="E253" s="67" t="e">
        <f>SUMIF(#REF!,XXXXFinRep!B253,#REF!)+SUMIF(#REF!,XXXXFinRep!B253,#REF!)</f>
        <v>#REF!</v>
      </c>
      <c r="F253" s="67" t="e">
        <f>SUMIF(#REF!,XXXXFinRep!B253,#REF!)+SUMIF(#REF!,XXXXFinRep!B253,#REF!)</f>
        <v>#REF!</v>
      </c>
      <c r="G253" s="67" t="e">
        <f>SUMIF(#REF!,XXXXFinRep!B253,#REF!)+SUMIF(#REF!,XXXXFinRep!B253,#REF!)</f>
        <v>#REF!</v>
      </c>
      <c r="H253" s="68" t="e">
        <f t="shared" si="44"/>
        <v>#REF!</v>
      </c>
      <c r="I253" s="69" t="e">
        <f t="shared" si="45"/>
        <v>#REF!</v>
      </c>
    </row>
    <row r="254" spans="1:9" x14ac:dyDescent="0.25">
      <c r="A254" s="2">
        <v>186</v>
      </c>
      <c r="B254" s="19" t="e">
        <f>VLOOKUP(A254,#REF!,2,FALSE)</f>
        <v>#REF!</v>
      </c>
      <c r="C254" s="20" t="e">
        <f>VLOOKUP(B254,#REF!,2,FALSE)</f>
        <v>#REF!</v>
      </c>
      <c r="D254" s="66" t="e">
        <f>SUMIF(#REF!,XXXXFinRep!B254,#REF!)</f>
        <v>#REF!</v>
      </c>
      <c r="E254" s="67" t="e">
        <f>SUMIF(#REF!,XXXXFinRep!B254,#REF!)+SUMIF(#REF!,XXXXFinRep!B254,#REF!)</f>
        <v>#REF!</v>
      </c>
      <c r="F254" s="67" t="e">
        <f>SUMIF(#REF!,XXXXFinRep!B254,#REF!)+SUMIF(#REF!,XXXXFinRep!B254,#REF!)</f>
        <v>#REF!</v>
      </c>
      <c r="G254" s="67" t="e">
        <f>SUMIF(#REF!,XXXXFinRep!B254,#REF!)+SUMIF(#REF!,XXXXFinRep!B254,#REF!)</f>
        <v>#REF!</v>
      </c>
      <c r="H254" s="68" t="e">
        <f t="shared" si="44"/>
        <v>#REF!</v>
      </c>
      <c r="I254" s="69" t="e">
        <f t="shared" si="45"/>
        <v>#REF!</v>
      </c>
    </row>
    <row r="255" spans="1:9" x14ac:dyDescent="0.25">
      <c r="A255" s="2">
        <v>187</v>
      </c>
      <c r="B255" s="19" t="e">
        <f>VLOOKUP(A255,#REF!,2,FALSE)</f>
        <v>#REF!</v>
      </c>
      <c r="C255" s="20" t="e">
        <f>VLOOKUP(B255,#REF!,2,FALSE)</f>
        <v>#REF!</v>
      </c>
      <c r="D255" s="66" t="e">
        <f>SUMIF(#REF!,XXXXFinRep!B255,#REF!)</f>
        <v>#REF!</v>
      </c>
      <c r="E255" s="67" t="e">
        <f>SUMIF(#REF!,XXXXFinRep!B255,#REF!)+SUMIF(#REF!,XXXXFinRep!B255,#REF!)</f>
        <v>#REF!</v>
      </c>
      <c r="F255" s="67" t="e">
        <f>SUMIF(#REF!,XXXXFinRep!B255,#REF!)+SUMIF(#REF!,XXXXFinRep!B255,#REF!)</f>
        <v>#REF!</v>
      </c>
      <c r="G255" s="67" t="e">
        <f>SUMIF(#REF!,XXXXFinRep!B255,#REF!)+SUMIF(#REF!,XXXXFinRep!B255,#REF!)</f>
        <v>#REF!</v>
      </c>
      <c r="H255" s="68" t="e">
        <f t="shared" si="44"/>
        <v>#REF!</v>
      </c>
      <c r="I255" s="69" t="e">
        <f t="shared" si="45"/>
        <v>#REF!</v>
      </c>
    </row>
    <row r="256" spans="1:9" x14ac:dyDescent="0.25">
      <c r="A256" s="2">
        <v>188</v>
      </c>
      <c r="B256" s="19" t="e">
        <f>VLOOKUP(A256,#REF!,2,FALSE)</f>
        <v>#REF!</v>
      </c>
      <c r="C256" s="20" t="e">
        <f>VLOOKUP(B256,#REF!,2,FALSE)</f>
        <v>#REF!</v>
      </c>
      <c r="D256" s="66" t="e">
        <f>SUMIF(#REF!,XXXXFinRep!B256,#REF!)</f>
        <v>#REF!</v>
      </c>
      <c r="E256" s="67" t="e">
        <f>SUMIF(#REF!,XXXXFinRep!B256,#REF!)+SUMIF(#REF!,XXXXFinRep!B256,#REF!)</f>
        <v>#REF!</v>
      </c>
      <c r="F256" s="67" t="e">
        <f>SUMIF(#REF!,XXXXFinRep!B256,#REF!)+SUMIF(#REF!,XXXXFinRep!B256,#REF!)</f>
        <v>#REF!</v>
      </c>
      <c r="G256" s="67" t="e">
        <f>SUMIF(#REF!,XXXXFinRep!B256,#REF!)+SUMIF(#REF!,XXXXFinRep!B256,#REF!)</f>
        <v>#REF!</v>
      </c>
      <c r="H256" s="68" t="e">
        <f t="shared" si="44"/>
        <v>#REF!</v>
      </c>
      <c r="I256" s="69" t="e">
        <f t="shared" si="45"/>
        <v>#REF!</v>
      </c>
    </row>
    <row r="257" spans="1:9" x14ac:dyDescent="0.25">
      <c r="A257" s="2">
        <v>189</v>
      </c>
      <c r="B257" s="19" t="e">
        <f>VLOOKUP(A257,#REF!,2,FALSE)</f>
        <v>#REF!</v>
      </c>
      <c r="C257" s="20" t="e">
        <f>VLOOKUP(B257,#REF!,2,FALSE)</f>
        <v>#REF!</v>
      </c>
      <c r="D257" s="66" t="e">
        <f>SUMIF(#REF!,XXXXFinRep!B257,#REF!)</f>
        <v>#REF!</v>
      </c>
      <c r="E257" s="67" t="e">
        <f>SUMIF(#REF!,XXXXFinRep!B257,#REF!)+SUMIF(#REF!,XXXXFinRep!B257,#REF!)</f>
        <v>#REF!</v>
      </c>
      <c r="F257" s="67" t="e">
        <f>SUMIF(#REF!,XXXXFinRep!B257,#REF!)+SUMIF(#REF!,XXXXFinRep!B257,#REF!)</f>
        <v>#REF!</v>
      </c>
      <c r="G257" s="67" t="e">
        <f>SUMIF(#REF!,XXXXFinRep!B257,#REF!)+SUMIF(#REF!,XXXXFinRep!B257,#REF!)</f>
        <v>#REF!</v>
      </c>
      <c r="H257" s="68" t="e">
        <f t="shared" si="44"/>
        <v>#REF!</v>
      </c>
      <c r="I257" s="69" t="e">
        <f t="shared" si="45"/>
        <v>#REF!</v>
      </c>
    </row>
    <row r="258" spans="1:9" x14ac:dyDescent="0.25">
      <c r="A258" s="2">
        <v>190</v>
      </c>
      <c r="B258" s="19" t="e">
        <f>VLOOKUP(A258,#REF!,2,FALSE)</f>
        <v>#REF!</v>
      </c>
      <c r="C258" s="20" t="e">
        <f>VLOOKUP(B258,#REF!,2,FALSE)</f>
        <v>#REF!</v>
      </c>
      <c r="D258" s="66" t="e">
        <f>SUMIF(#REF!,XXXXFinRep!B258,#REF!)</f>
        <v>#REF!</v>
      </c>
      <c r="E258" s="67" t="e">
        <f>SUMIF(#REF!,XXXXFinRep!B258,#REF!)+SUMIF(#REF!,XXXXFinRep!B258,#REF!)</f>
        <v>#REF!</v>
      </c>
      <c r="F258" s="67" t="e">
        <f>SUMIF(#REF!,XXXXFinRep!B258,#REF!)+SUMIF(#REF!,XXXXFinRep!B258,#REF!)</f>
        <v>#REF!</v>
      </c>
      <c r="G258" s="67" t="e">
        <f>SUMIF(#REF!,XXXXFinRep!B258,#REF!)+SUMIF(#REF!,XXXXFinRep!B258,#REF!)</f>
        <v>#REF!</v>
      </c>
      <c r="H258" s="68" t="e">
        <f t="shared" si="44"/>
        <v>#REF!</v>
      </c>
      <c r="I258" s="69" t="e">
        <f t="shared" si="45"/>
        <v>#REF!</v>
      </c>
    </row>
    <row r="259" spans="1:9" x14ac:dyDescent="0.25">
      <c r="B259" s="26" t="s">
        <v>146</v>
      </c>
      <c r="C259" s="28" t="s">
        <v>107</v>
      </c>
      <c r="D259" s="78" t="e">
        <f>SUM(D249:D258)</f>
        <v>#REF!</v>
      </c>
      <c r="E259" s="78" t="e">
        <f t="shared" ref="E259:I259" si="46">SUM(E249:E258)</f>
        <v>#REF!</v>
      </c>
      <c r="F259" s="78" t="e">
        <f t="shared" si="46"/>
        <v>#REF!</v>
      </c>
      <c r="G259" s="78" t="e">
        <f t="shared" si="46"/>
        <v>#REF!</v>
      </c>
      <c r="H259" s="78" t="e">
        <f t="shared" si="46"/>
        <v>#REF!</v>
      </c>
      <c r="I259" s="78" t="e">
        <f t="shared" si="46"/>
        <v>#REF!</v>
      </c>
    </row>
    <row r="260" spans="1:9" x14ac:dyDescent="0.25">
      <c r="B260" s="19"/>
      <c r="D260" s="66"/>
      <c r="E260" s="67"/>
      <c r="F260" s="67"/>
      <c r="G260" s="67"/>
      <c r="H260" s="68"/>
      <c r="I260" s="69"/>
    </row>
    <row r="261" spans="1:9" x14ac:dyDescent="0.25">
      <c r="B261" s="23"/>
      <c r="C261" s="27" t="s">
        <v>108</v>
      </c>
      <c r="D261" s="66"/>
      <c r="E261" s="67"/>
      <c r="F261" s="67"/>
      <c r="G261" s="67"/>
      <c r="H261" s="68"/>
      <c r="I261" s="69"/>
    </row>
    <row r="262" spans="1:9" x14ac:dyDescent="0.25">
      <c r="A262" s="2">
        <v>191</v>
      </c>
      <c r="B262" s="19" t="e">
        <f>VLOOKUP(A262,#REF!,2,FALSE)</f>
        <v>#REF!</v>
      </c>
      <c r="C262" s="20" t="e">
        <f>VLOOKUP(B262,#REF!,2,FALSE)</f>
        <v>#REF!</v>
      </c>
      <c r="D262" s="66" t="e">
        <f>SUMIF(#REF!,XXXXFinRep!B262,#REF!)</f>
        <v>#REF!</v>
      </c>
      <c r="E262" s="67" t="e">
        <f>SUMIF(#REF!,XXXXFinRep!B262,#REF!)+SUMIF(#REF!,XXXXFinRep!B262,#REF!)</f>
        <v>#REF!</v>
      </c>
      <c r="F262" s="67" t="e">
        <f>SUMIF(#REF!,XXXXFinRep!B262,#REF!)+SUMIF(#REF!,XXXXFinRep!B262,#REF!)</f>
        <v>#REF!</v>
      </c>
      <c r="G262" s="67" t="e">
        <f>SUMIF(#REF!,XXXXFinRep!B262,#REF!)+SUMIF(#REF!,XXXXFinRep!B262,#REF!)</f>
        <v>#REF!</v>
      </c>
      <c r="H262" s="68" t="e">
        <f t="shared" ref="H262:H271" si="47">SUM(E262,F262,G262)</f>
        <v>#REF!</v>
      </c>
      <c r="I262" s="69" t="e">
        <f t="shared" ref="I262:I271" si="48">SUM(D262-H262)</f>
        <v>#REF!</v>
      </c>
    </row>
    <row r="263" spans="1:9" x14ac:dyDescent="0.25">
      <c r="A263" s="2">
        <v>192</v>
      </c>
      <c r="B263" s="19" t="e">
        <f>VLOOKUP(A263,#REF!,2,FALSE)</f>
        <v>#REF!</v>
      </c>
      <c r="C263" s="20" t="e">
        <f>VLOOKUP(B263,#REF!,2,FALSE)</f>
        <v>#REF!</v>
      </c>
      <c r="D263" s="66" t="e">
        <f>SUMIF(#REF!,XXXXFinRep!B263,#REF!)</f>
        <v>#REF!</v>
      </c>
      <c r="E263" s="67" t="e">
        <f>SUMIF(#REF!,XXXXFinRep!B263,#REF!)+SUMIF(#REF!,XXXXFinRep!B263,#REF!)</f>
        <v>#REF!</v>
      </c>
      <c r="F263" s="67" t="e">
        <f>SUMIF(#REF!,XXXXFinRep!B263,#REF!)+SUMIF(#REF!,XXXXFinRep!B263,#REF!)</f>
        <v>#REF!</v>
      </c>
      <c r="G263" s="67" t="e">
        <f>SUMIF(#REF!,XXXXFinRep!B263,#REF!)+SUMIF(#REF!,XXXXFinRep!B263,#REF!)</f>
        <v>#REF!</v>
      </c>
      <c r="H263" s="68" t="e">
        <f t="shared" si="47"/>
        <v>#REF!</v>
      </c>
      <c r="I263" s="69" t="e">
        <f t="shared" si="48"/>
        <v>#REF!</v>
      </c>
    </row>
    <row r="264" spans="1:9" x14ac:dyDescent="0.25">
      <c r="A264" s="2">
        <v>193</v>
      </c>
      <c r="B264" s="19" t="e">
        <f>VLOOKUP(A264,#REF!,2,FALSE)</f>
        <v>#REF!</v>
      </c>
      <c r="C264" s="20" t="e">
        <f>VLOOKUP(B264,#REF!,2,FALSE)</f>
        <v>#REF!</v>
      </c>
      <c r="D264" s="66" t="e">
        <f>SUMIF(#REF!,XXXXFinRep!B264,#REF!)</f>
        <v>#REF!</v>
      </c>
      <c r="E264" s="67" t="e">
        <f>SUMIF(#REF!,XXXXFinRep!B264,#REF!)+SUMIF(#REF!,XXXXFinRep!B264,#REF!)</f>
        <v>#REF!</v>
      </c>
      <c r="F264" s="67" t="e">
        <f>SUMIF(#REF!,XXXXFinRep!B264,#REF!)+SUMIF(#REF!,XXXXFinRep!B264,#REF!)</f>
        <v>#REF!</v>
      </c>
      <c r="G264" s="67" t="e">
        <f>SUMIF(#REF!,XXXXFinRep!B264,#REF!)+SUMIF(#REF!,XXXXFinRep!B264,#REF!)</f>
        <v>#REF!</v>
      </c>
      <c r="H264" s="68" t="e">
        <f t="shared" si="47"/>
        <v>#REF!</v>
      </c>
      <c r="I264" s="69" t="e">
        <f t="shared" si="48"/>
        <v>#REF!</v>
      </c>
    </row>
    <row r="265" spans="1:9" x14ac:dyDescent="0.25">
      <c r="A265" s="2">
        <v>194</v>
      </c>
      <c r="B265" s="19" t="e">
        <f>VLOOKUP(A265,#REF!,2,FALSE)</f>
        <v>#REF!</v>
      </c>
      <c r="C265" s="20" t="e">
        <f>VLOOKUP(B265,#REF!,2,FALSE)</f>
        <v>#REF!</v>
      </c>
      <c r="D265" s="66" t="e">
        <f>SUMIF(#REF!,XXXXFinRep!B265,#REF!)</f>
        <v>#REF!</v>
      </c>
      <c r="E265" s="67" t="e">
        <f>SUMIF(#REF!,XXXXFinRep!B265,#REF!)+SUMIF(#REF!,XXXXFinRep!B265,#REF!)</f>
        <v>#REF!</v>
      </c>
      <c r="F265" s="67" t="e">
        <f>SUMIF(#REF!,XXXXFinRep!B265,#REF!)+SUMIF(#REF!,XXXXFinRep!B265,#REF!)</f>
        <v>#REF!</v>
      </c>
      <c r="G265" s="67" t="e">
        <f>SUMIF(#REF!,XXXXFinRep!B265,#REF!)+SUMIF(#REF!,XXXXFinRep!B265,#REF!)</f>
        <v>#REF!</v>
      </c>
      <c r="H265" s="68" t="e">
        <f t="shared" si="47"/>
        <v>#REF!</v>
      </c>
      <c r="I265" s="69" t="e">
        <f t="shared" si="48"/>
        <v>#REF!</v>
      </c>
    </row>
    <row r="266" spans="1:9" x14ac:dyDescent="0.25">
      <c r="A266" s="2">
        <v>195</v>
      </c>
      <c r="B266" s="19" t="e">
        <f>VLOOKUP(A266,#REF!,2,FALSE)</f>
        <v>#REF!</v>
      </c>
      <c r="C266" s="20" t="e">
        <f>VLOOKUP(B266,#REF!,2,FALSE)</f>
        <v>#REF!</v>
      </c>
      <c r="D266" s="66" t="e">
        <f>SUMIF(#REF!,XXXXFinRep!B266,#REF!)</f>
        <v>#REF!</v>
      </c>
      <c r="E266" s="67" t="e">
        <f>SUMIF(#REF!,XXXXFinRep!B266,#REF!)+SUMIF(#REF!,XXXXFinRep!B266,#REF!)</f>
        <v>#REF!</v>
      </c>
      <c r="F266" s="67" t="e">
        <f>SUMIF(#REF!,XXXXFinRep!B266,#REF!)+SUMIF(#REF!,XXXXFinRep!B266,#REF!)</f>
        <v>#REF!</v>
      </c>
      <c r="G266" s="67" t="e">
        <f>SUMIF(#REF!,XXXXFinRep!B266,#REF!)+SUMIF(#REF!,XXXXFinRep!B266,#REF!)</f>
        <v>#REF!</v>
      </c>
      <c r="H266" s="68" t="e">
        <f t="shared" si="47"/>
        <v>#REF!</v>
      </c>
      <c r="I266" s="69" t="e">
        <f t="shared" si="48"/>
        <v>#REF!</v>
      </c>
    </row>
    <row r="267" spans="1:9" x14ac:dyDescent="0.25">
      <c r="A267" s="2">
        <v>196</v>
      </c>
      <c r="B267" s="19" t="e">
        <f>VLOOKUP(A267,#REF!,2,FALSE)</f>
        <v>#REF!</v>
      </c>
      <c r="C267" s="20" t="e">
        <f>VLOOKUP(B267,#REF!,2,FALSE)</f>
        <v>#REF!</v>
      </c>
      <c r="D267" s="66" t="e">
        <f>SUMIF(#REF!,XXXXFinRep!B267,#REF!)</f>
        <v>#REF!</v>
      </c>
      <c r="E267" s="67" t="e">
        <f>SUMIF(#REF!,XXXXFinRep!B267,#REF!)+SUMIF(#REF!,XXXXFinRep!B267,#REF!)</f>
        <v>#REF!</v>
      </c>
      <c r="F267" s="67" t="e">
        <f>SUMIF(#REF!,XXXXFinRep!B267,#REF!)+SUMIF(#REF!,XXXXFinRep!B267,#REF!)</f>
        <v>#REF!</v>
      </c>
      <c r="G267" s="67" t="e">
        <f>SUMIF(#REF!,XXXXFinRep!B267,#REF!)+SUMIF(#REF!,XXXXFinRep!B267,#REF!)</f>
        <v>#REF!</v>
      </c>
      <c r="H267" s="68" t="e">
        <f t="shared" si="47"/>
        <v>#REF!</v>
      </c>
      <c r="I267" s="69" t="e">
        <f t="shared" si="48"/>
        <v>#REF!</v>
      </c>
    </row>
    <row r="268" spans="1:9" x14ac:dyDescent="0.25">
      <c r="A268" s="2">
        <v>197</v>
      </c>
      <c r="B268" s="19" t="e">
        <f>VLOOKUP(A268,#REF!,2,FALSE)</f>
        <v>#REF!</v>
      </c>
      <c r="C268" s="20" t="e">
        <f>VLOOKUP(B268,#REF!,2,FALSE)</f>
        <v>#REF!</v>
      </c>
      <c r="D268" s="66" t="e">
        <f>SUMIF(#REF!,XXXXFinRep!B268,#REF!)</f>
        <v>#REF!</v>
      </c>
      <c r="E268" s="67" t="e">
        <f>SUMIF(#REF!,XXXXFinRep!B268,#REF!)+SUMIF(#REF!,XXXXFinRep!B268,#REF!)</f>
        <v>#REF!</v>
      </c>
      <c r="F268" s="67" t="e">
        <f>SUMIF(#REF!,XXXXFinRep!B268,#REF!)+SUMIF(#REF!,XXXXFinRep!B268,#REF!)</f>
        <v>#REF!</v>
      </c>
      <c r="G268" s="67" t="e">
        <f>SUMIF(#REF!,XXXXFinRep!B268,#REF!)+SUMIF(#REF!,XXXXFinRep!B268,#REF!)</f>
        <v>#REF!</v>
      </c>
      <c r="H268" s="68" t="e">
        <f t="shared" si="47"/>
        <v>#REF!</v>
      </c>
      <c r="I268" s="69" t="e">
        <f t="shared" si="48"/>
        <v>#REF!</v>
      </c>
    </row>
    <row r="269" spans="1:9" x14ac:dyDescent="0.25">
      <c r="A269" s="2">
        <v>198</v>
      </c>
      <c r="B269" s="19" t="e">
        <f>VLOOKUP(A269,#REF!,2,FALSE)</f>
        <v>#REF!</v>
      </c>
      <c r="C269" s="20" t="e">
        <f>VLOOKUP(B269,#REF!,2,FALSE)</f>
        <v>#REF!</v>
      </c>
      <c r="D269" s="66" t="e">
        <f>SUMIF(#REF!,XXXXFinRep!B269,#REF!)</f>
        <v>#REF!</v>
      </c>
      <c r="E269" s="67" t="e">
        <f>SUMIF(#REF!,XXXXFinRep!B269,#REF!)+SUMIF(#REF!,XXXXFinRep!B269,#REF!)</f>
        <v>#REF!</v>
      </c>
      <c r="F269" s="67" t="e">
        <f>SUMIF(#REF!,XXXXFinRep!B269,#REF!)+SUMIF(#REF!,XXXXFinRep!B269,#REF!)</f>
        <v>#REF!</v>
      </c>
      <c r="G269" s="67" t="e">
        <f>SUMIF(#REF!,XXXXFinRep!B269,#REF!)+SUMIF(#REF!,XXXXFinRep!B269,#REF!)</f>
        <v>#REF!</v>
      </c>
      <c r="H269" s="68" t="e">
        <f t="shared" si="47"/>
        <v>#REF!</v>
      </c>
      <c r="I269" s="69" t="e">
        <f t="shared" si="48"/>
        <v>#REF!</v>
      </c>
    </row>
    <row r="270" spans="1:9" x14ac:dyDescent="0.25">
      <c r="A270" s="2">
        <v>199</v>
      </c>
      <c r="B270" s="19" t="e">
        <f>VLOOKUP(A270,#REF!,2,FALSE)</f>
        <v>#REF!</v>
      </c>
      <c r="C270" s="20" t="e">
        <f>VLOOKUP(B270,#REF!,2,FALSE)</f>
        <v>#REF!</v>
      </c>
      <c r="D270" s="66" t="e">
        <f>SUMIF(#REF!,XXXXFinRep!B270,#REF!)</f>
        <v>#REF!</v>
      </c>
      <c r="E270" s="67" t="e">
        <f>SUMIF(#REF!,XXXXFinRep!B270,#REF!)+SUMIF(#REF!,XXXXFinRep!B270,#REF!)</f>
        <v>#REF!</v>
      </c>
      <c r="F270" s="67" t="e">
        <f>SUMIF(#REF!,XXXXFinRep!B270,#REF!)+SUMIF(#REF!,XXXXFinRep!B270,#REF!)</f>
        <v>#REF!</v>
      </c>
      <c r="G270" s="67" t="e">
        <f>SUMIF(#REF!,XXXXFinRep!B270,#REF!)+SUMIF(#REF!,XXXXFinRep!B270,#REF!)</f>
        <v>#REF!</v>
      </c>
      <c r="H270" s="68" t="e">
        <f t="shared" si="47"/>
        <v>#REF!</v>
      </c>
      <c r="I270" s="69" t="e">
        <f t="shared" si="48"/>
        <v>#REF!</v>
      </c>
    </row>
    <row r="271" spans="1:9" x14ac:dyDescent="0.25">
      <c r="A271" s="2">
        <v>200</v>
      </c>
      <c r="B271" s="19" t="e">
        <f>VLOOKUP(A271,#REF!,2,FALSE)</f>
        <v>#REF!</v>
      </c>
      <c r="C271" s="20" t="e">
        <f>VLOOKUP(B271,#REF!,2,FALSE)</f>
        <v>#REF!</v>
      </c>
      <c r="D271" s="66" t="e">
        <f>SUMIF(#REF!,XXXXFinRep!B271,#REF!)</f>
        <v>#REF!</v>
      </c>
      <c r="E271" s="67" t="e">
        <f>SUMIF(#REF!,XXXXFinRep!B271,#REF!)+SUMIF(#REF!,XXXXFinRep!B271,#REF!)</f>
        <v>#REF!</v>
      </c>
      <c r="F271" s="67" t="e">
        <f>SUMIF(#REF!,XXXXFinRep!B271,#REF!)+SUMIF(#REF!,XXXXFinRep!B271,#REF!)</f>
        <v>#REF!</v>
      </c>
      <c r="G271" s="67" t="e">
        <f>SUMIF(#REF!,XXXXFinRep!B271,#REF!)+SUMIF(#REF!,XXXXFinRep!B271,#REF!)</f>
        <v>#REF!</v>
      </c>
      <c r="H271" s="68" t="e">
        <f t="shared" si="47"/>
        <v>#REF!</v>
      </c>
      <c r="I271" s="69" t="e">
        <f t="shared" si="48"/>
        <v>#REF!</v>
      </c>
    </row>
    <row r="272" spans="1:9" x14ac:dyDescent="0.25">
      <c r="B272" s="21" t="s">
        <v>147</v>
      </c>
      <c r="C272" s="28" t="s">
        <v>111</v>
      </c>
      <c r="D272" s="78" t="e">
        <f>SUM(D262:D271)</f>
        <v>#REF!</v>
      </c>
      <c r="E272" s="78" t="e">
        <f t="shared" ref="E272:I272" si="49">SUM(E262:E271)</f>
        <v>#REF!</v>
      </c>
      <c r="F272" s="78" t="e">
        <f t="shared" si="49"/>
        <v>#REF!</v>
      </c>
      <c r="G272" s="78" t="e">
        <f t="shared" si="49"/>
        <v>#REF!</v>
      </c>
      <c r="H272" s="78" t="e">
        <f t="shared" si="49"/>
        <v>#REF!</v>
      </c>
      <c r="I272" s="78" t="e">
        <f t="shared" si="49"/>
        <v>#REF!</v>
      </c>
    </row>
    <row r="273" spans="1:9" ht="13.8" thickBot="1" x14ac:dyDescent="0.3">
      <c r="B273" s="23"/>
      <c r="C273" s="37"/>
      <c r="D273" s="84"/>
      <c r="E273" s="85"/>
      <c r="F273" s="85"/>
      <c r="G273" s="85"/>
      <c r="H273" s="86"/>
      <c r="I273" s="88"/>
    </row>
    <row r="274" spans="1:9" ht="13.8" thickBot="1" x14ac:dyDescent="0.3">
      <c r="B274" s="23"/>
      <c r="C274" s="38" t="s">
        <v>166</v>
      </c>
      <c r="D274" s="70" t="e">
        <f t="shared" ref="D274:I274" si="50">SUM(D272,D259,D246,D220,D207,D194)</f>
        <v>#REF!</v>
      </c>
      <c r="E274" s="70" t="e">
        <f t="shared" si="50"/>
        <v>#REF!</v>
      </c>
      <c r="F274" s="70" t="e">
        <f t="shared" si="50"/>
        <v>#REF!</v>
      </c>
      <c r="G274" s="70" t="e">
        <f t="shared" si="50"/>
        <v>#REF!</v>
      </c>
      <c r="H274" s="70" t="e">
        <f t="shared" si="50"/>
        <v>#REF!</v>
      </c>
      <c r="I274" s="70" t="e">
        <f t="shared" si="50"/>
        <v>#REF!</v>
      </c>
    </row>
    <row r="275" spans="1:9" ht="13.8" thickBot="1" x14ac:dyDescent="0.3">
      <c r="B275" s="23"/>
      <c r="D275" s="89"/>
      <c r="E275" s="90"/>
      <c r="F275" s="90"/>
      <c r="G275" s="90"/>
      <c r="H275" s="91"/>
      <c r="I275" s="92"/>
    </row>
    <row r="276" spans="1:9" ht="13.8" thickBot="1" x14ac:dyDescent="0.3">
      <c r="B276" s="23"/>
      <c r="C276" s="39" t="s">
        <v>167</v>
      </c>
      <c r="D276" s="83" t="e">
        <f t="shared" ref="D276:I276" si="51">SUM(D274,D179)</f>
        <v>#REF!</v>
      </c>
      <c r="E276" s="83" t="e">
        <f t="shared" si="51"/>
        <v>#REF!</v>
      </c>
      <c r="F276" s="83" t="e">
        <f t="shared" si="51"/>
        <v>#REF!</v>
      </c>
      <c r="G276" s="83" t="e">
        <f t="shared" si="51"/>
        <v>#REF!</v>
      </c>
      <c r="H276" s="83" t="e">
        <f t="shared" si="51"/>
        <v>#REF!</v>
      </c>
      <c r="I276" s="83" t="e">
        <f t="shared" si="51"/>
        <v>#REF!</v>
      </c>
    </row>
    <row r="277" spans="1:9" x14ac:dyDescent="0.25">
      <c r="B277" s="23"/>
      <c r="D277" s="66"/>
      <c r="E277" s="67"/>
      <c r="F277" s="67"/>
      <c r="G277" s="67"/>
      <c r="H277" s="68"/>
      <c r="I277" s="69"/>
    </row>
    <row r="278" spans="1:9" x14ac:dyDescent="0.25">
      <c r="B278" s="34"/>
      <c r="C278" s="27" t="s">
        <v>113</v>
      </c>
      <c r="D278" s="66"/>
      <c r="E278" s="67"/>
      <c r="F278" s="67"/>
      <c r="G278" s="67"/>
      <c r="H278" s="68"/>
      <c r="I278" s="69"/>
    </row>
    <row r="279" spans="1:9" x14ac:dyDescent="0.25">
      <c r="A279" s="2">
        <v>201</v>
      </c>
      <c r="B279" s="23" t="e">
        <f>VLOOKUP(A279,#REF!,2,FALSE)</f>
        <v>#REF!</v>
      </c>
      <c r="C279" s="20" t="e">
        <f>VLOOKUP(B279,#REF!,2,FALSE)</f>
        <v>#REF!</v>
      </c>
      <c r="D279" s="66" t="e">
        <f>SUMIF(#REF!,XXXXFinRep!B279,#REF!)</f>
        <v>#REF!</v>
      </c>
      <c r="E279" s="67"/>
      <c r="F279" s="67"/>
      <c r="G279" s="67"/>
      <c r="H279" s="68">
        <f t="shared" ref="H279:H288" si="52">SUM(E279,F279,G279)</f>
        <v>0</v>
      </c>
      <c r="I279" s="69" t="e">
        <f t="shared" ref="I279:I288" si="53">SUM(D279-H279)</f>
        <v>#REF!</v>
      </c>
    </row>
    <row r="280" spans="1:9" x14ac:dyDescent="0.25">
      <c r="A280" s="2">
        <v>202</v>
      </c>
      <c r="B280" s="23" t="e">
        <f>VLOOKUP(A280,#REF!,2,FALSE)</f>
        <v>#REF!</v>
      </c>
      <c r="C280" s="20" t="e">
        <f>VLOOKUP(B280,#REF!,2,FALSE)</f>
        <v>#REF!</v>
      </c>
      <c r="D280" s="66" t="e">
        <f>SUMIF(#REF!,XXXXFinRep!B280,#REF!)</f>
        <v>#REF!</v>
      </c>
      <c r="E280" s="67"/>
      <c r="F280" s="67"/>
      <c r="G280" s="67"/>
      <c r="H280" s="68">
        <f t="shared" si="52"/>
        <v>0</v>
      </c>
      <c r="I280" s="69" t="e">
        <f t="shared" si="53"/>
        <v>#REF!</v>
      </c>
    </row>
    <row r="281" spans="1:9" x14ac:dyDescent="0.25">
      <c r="A281" s="2">
        <v>203</v>
      </c>
      <c r="B281" s="23" t="e">
        <f>VLOOKUP(A281,#REF!,2,FALSE)</f>
        <v>#REF!</v>
      </c>
      <c r="C281" s="20" t="e">
        <f>VLOOKUP(B281,#REF!,2,FALSE)</f>
        <v>#REF!</v>
      </c>
      <c r="D281" s="66" t="e">
        <f>SUMIF(#REF!,XXXXFinRep!B281,#REF!)</f>
        <v>#REF!</v>
      </c>
      <c r="E281" s="67"/>
      <c r="F281" s="67"/>
      <c r="G281" s="67"/>
      <c r="H281" s="68">
        <f t="shared" si="52"/>
        <v>0</v>
      </c>
      <c r="I281" s="69" t="e">
        <f t="shared" si="53"/>
        <v>#REF!</v>
      </c>
    </row>
    <row r="282" spans="1:9" x14ac:dyDescent="0.25">
      <c r="A282" s="2">
        <v>204</v>
      </c>
      <c r="B282" s="23" t="e">
        <f>VLOOKUP(A282,#REF!,2,FALSE)</f>
        <v>#REF!</v>
      </c>
      <c r="C282" s="20" t="e">
        <f>VLOOKUP(B282,#REF!,2,FALSE)</f>
        <v>#REF!</v>
      </c>
      <c r="D282" s="66" t="e">
        <f>SUMIF(#REF!,XXXXFinRep!B282,#REF!)</f>
        <v>#REF!</v>
      </c>
      <c r="E282" s="67"/>
      <c r="F282" s="67"/>
      <c r="G282" s="67"/>
      <c r="H282" s="68">
        <f t="shared" si="52"/>
        <v>0</v>
      </c>
      <c r="I282" s="69" t="e">
        <f t="shared" si="53"/>
        <v>#REF!</v>
      </c>
    </row>
    <row r="283" spans="1:9" x14ac:dyDescent="0.25">
      <c r="A283" s="2">
        <v>205</v>
      </c>
      <c r="B283" s="23" t="e">
        <f>VLOOKUP(A283,#REF!,2,FALSE)</f>
        <v>#REF!</v>
      </c>
      <c r="C283" s="20" t="e">
        <f>VLOOKUP(B283,#REF!,2,FALSE)</f>
        <v>#REF!</v>
      </c>
      <c r="D283" s="66" t="e">
        <f>SUMIF(#REF!,XXXXFinRep!B283,#REF!)</f>
        <v>#REF!</v>
      </c>
      <c r="E283" s="67"/>
      <c r="F283" s="67"/>
      <c r="G283" s="67"/>
      <c r="H283" s="68">
        <f t="shared" si="52"/>
        <v>0</v>
      </c>
      <c r="I283" s="69" t="e">
        <f t="shared" si="53"/>
        <v>#REF!</v>
      </c>
    </row>
    <row r="284" spans="1:9" x14ac:dyDescent="0.25">
      <c r="A284" s="2">
        <v>206</v>
      </c>
      <c r="B284" s="23" t="e">
        <f>VLOOKUP(A284,#REF!,2,FALSE)</f>
        <v>#REF!</v>
      </c>
      <c r="C284" s="20" t="e">
        <f>VLOOKUP(B284,#REF!,2,FALSE)</f>
        <v>#REF!</v>
      </c>
      <c r="D284" s="66" t="e">
        <f>SUMIF(#REF!,XXXXFinRep!B284,#REF!)</f>
        <v>#REF!</v>
      </c>
      <c r="E284" s="67"/>
      <c r="F284" s="67"/>
      <c r="G284" s="67"/>
      <c r="H284" s="68">
        <f t="shared" si="52"/>
        <v>0</v>
      </c>
      <c r="I284" s="69" t="e">
        <f t="shared" si="53"/>
        <v>#REF!</v>
      </c>
    </row>
    <row r="285" spans="1:9" x14ac:dyDescent="0.25">
      <c r="A285" s="2">
        <v>207</v>
      </c>
      <c r="B285" s="23" t="e">
        <f>VLOOKUP(A285,#REF!,2,FALSE)</f>
        <v>#REF!</v>
      </c>
      <c r="C285" s="20" t="e">
        <f>VLOOKUP(B285,#REF!,2,FALSE)</f>
        <v>#REF!</v>
      </c>
      <c r="D285" s="66" t="e">
        <f>SUMIF(#REF!,XXXXFinRep!B285,#REF!)</f>
        <v>#REF!</v>
      </c>
      <c r="E285" s="67"/>
      <c r="F285" s="67"/>
      <c r="G285" s="67"/>
      <c r="H285" s="68">
        <f t="shared" si="52"/>
        <v>0</v>
      </c>
      <c r="I285" s="69" t="e">
        <f t="shared" si="53"/>
        <v>#REF!</v>
      </c>
    </row>
    <row r="286" spans="1:9" x14ac:dyDescent="0.25">
      <c r="A286" s="2">
        <v>208</v>
      </c>
      <c r="B286" s="23" t="e">
        <f>VLOOKUP(A286,#REF!,2,FALSE)</f>
        <v>#REF!</v>
      </c>
      <c r="C286" s="20" t="e">
        <f>VLOOKUP(B286,#REF!,2,FALSE)</f>
        <v>#REF!</v>
      </c>
      <c r="D286" s="66" t="e">
        <f>SUMIF(#REF!,XXXXFinRep!B286,#REF!)</f>
        <v>#REF!</v>
      </c>
      <c r="E286" s="67"/>
      <c r="F286" s="67"/>
      <c r="G286" s="67"/>
      <c r="H286" s="68">
        <f t="shared" si="52"/>
        <v>0</v>
      </c>
      <c r="I286" s="69" t="e">
        <f t="shared" si="53"/>
        <v>#REF!</v>
      </c>
    </row>
    <row r="287" spans="1:9" x14ac:dyDescent="0.25">
      <c r="A287" s="2">
        <v>209</v>
      </c>
      <c r="B287" s="23" t="e">
        <f>VLOOKUP(A287,#REF!,2,FALSE)</f>
        <v>#REF!</v>
      </c>
      <c r="C287" s="20" t="e">
        <f>VLOOKUP(B287,#REF!,2,FALSE)</f>
        <v>#REF!</v>
      </c>
      <c r="D287" s="66" t="e">
        <f>SUMIF(#REF!,XXXXFinRep!B287,#REF!)</f>
        <v>#REF!</v>
      </c>
      <c r="E287" s="67"/>
      <c r="F287" s="67"/>
      <c r="G287" s="67"/>
      <c r="H287" s="68">
        <f t="shared" si="52"/>
        <v>0</v>
      </c>
      <c r="I287" s="69" t="e">
        <f t="shared" si="53"/>
        <v>#REF!</v>
      </c>
    </row>
    <row r="288" spans="1:9" ht="13.8" thickBot="1" x14ac:dyDescent="0.3">
      <c r="A288" s="2">
        <v>210</v>
      </c>
      <c r="B288" s="23" t="e">
        <f>VLOOKUP(A288,#REF!,2,FALSE)</f>
        <v>#REF!</v>
      </c>
      <c r="C288" s="20" t="e">
        <f>VLOOKUP(B288,#REF!,2,FALSE)</f>
        <v>#REF!</v>
      </c>
      <c r="D288" s="66" t="e">
        <f>SUMIF(#REF!,XXXXFinRep!B288,#REF!)</f>
        <v>#REF!</v>
      </c>
      <c r="E288" s="67"/>
      <c r="F288" s="67"/>
      <c r="G288" s="67"/>
      <c r="H288" s="68">
        <f t="shared" si="52"/>
        <v>0</v>
      </c>
      <c r="I288" s="69" t="e">
        <f t="shared" si="53"/>
        <v>#REF!</v>
      </c>
    </row>
    <row r="289" spans="2:9" ht="13.8" thickBot="1" x14ac:dyDescent="0.3">
      <c r="B289" s="21" t="s">
        <v>149</v>
      </c>
      <c r="C289" s="40" t="s">
        <v>124</v>
      </c>
      <c r="D289" s="93" t="e">
        <f>SUM(D279:D288)</f>
        <v>#REF!</v>
      </c>
      <c r="E289" s="93">
        <f t="shared" ref="E289:I289" si="54">SUM(E279:E288)</f>
        <v>0</v>
      </c>
      <c r="F289" s="93">
        <f t="shared" si="54"/>
        <v>0</v>
      </c>
      <c r="G289" s="93">
        <f t="shared" si="54"/>
        <v>0</v>
      </c>
      <c r="H289" s="93">
        <f t="shared" si="54"/>
        <v>0</v>
      </c>
      <c r="I289" s="93" t="e">
        <f t="shared" si="54"/>
        <v>#REF!</v>
      </c>
    </row>
    <row r="290" spans="2:9" x14ac:dyDescent="0.25">
      <c r="B290" s="23"/>
      <c r="C290" s="37"/>
      <c r="D290" s="84"/>
      <c r="E290" s="94"/>
      <c r="F290" s="94"/>
      <c r="G290" s="94"/>
      <c r="H290" s="95"/>
      <c r="I290" s="95"/>
    </row>
    <row r="291" spans="2:9" x14ac:dyDescent="0.25">
      <c r="B291" s="23"/>
      <c r="C291" s="41" t="s">
        <v>168</v>
      </c>
      <c r="D291" s="96" t="e">
        <f>D276+D289</f>
        <v>#REF!</v>
      </c>
      <c r="E291" s="97" t="e">
        <f t="shared" ref="E291:I291" si="55">E276+E289</f>
        <v>#REF!</v>
      </c>
      <c r="F291" s="97" t="e">
        <f t="shared" si="55"/>
        <v>#REF!</v>
      </c>
      <c r="G291" s="97" t="e">
        <f t="shared" si="55"/>
        <v>#REF!</v>
      </c>
      <c r="H291" s="98" t="e">
        <f t="shared" si="55"/>
        <v>#REF!</v>
      </c>
      <c r="I291" s="98" t="e">
        <f t="shared" si="55"/>
        <v>#REF!</v>
      </c>
    </row>
    <row r="292" spans="2:9" ht="13.8" thickBot="1" x14ac:dyDescent="0.3">
      <c r="B292" s="23"/>
      <c r="D292" s="66"/>
      <c r="E292" s="67"/>
      <c r="F292" s="67"/>
      <c r="G292" s="67"/>
      <c r="H292" s="68"/>
      <c r="I292" s="69"/>
    </row>
    <row r="293" spans="2:9" s="27" customFormat="1" ht="13.8" thickBot="1" x14ac:dyDescent="0.3">
      <c r="B293" s="42" t="s">
        <v>40</v>
      </c>
      <c r="C293" s="43"/>
      <c r="D293" s="99" t="e">
        <f t="shared" ref="D293:I293" si="56">D16-D291</f>
        <v>#REF!</v>
      </c>
      <c r="E293" s="99" t="e">
        <f t="shared" si="56"/>
        <v>#REF!</v>
      </c>
      <c r="F293" s="99" t="e">
        <f t="shared" si="56"/>
        <v>#REF!</v>
      </c>
      <c r="G293" s="99" t="e">
        <f t="shared" si="56"/>
        <v>#REF!</v>
      </c>
      <c r="H293" s="99" t="e">
        <f t="shared" si="56"/>
        <v>#REF!</v>
      </c>
      <c r="I293" s="99" t="e">
        <f t="shared" si="56"/>
        <v>#REF!</v>
      </c>
    </row>
    <row r="294" spans="2:9" x14ac:dyDescent="0.25">
      <c r="D294" s="145"/>
      <c r="E294" s="135"/>
      <c r="F294" s="135"/>
      <c r="G294" s="135"/>
      <c r="H294" s="135"/>
      <c r="I294" s="135"/>
    </row>
    <row r="295" spans="2:9" x14ac:dyDescent="0.25">
      <c r="C295" s="27"/>
      <c r="D295" s="145"/>
      <c r="E295" s="135"/>
      <c r="F295" s="135"/>
      <c r="G295" s="135"/>
      <c r="H295" s="135"/>
      <c r="I295" s="135"/>
    </row>
    <row r="296" spans="2:9" x14ac:dyDescent="0.25">
      <c r="D296" s="145"/>
      <c r="E296" s="135"/>
      <c r="F296" s="135"/>
      <c r="G296" s="135"/>
      <c r="H296" s="135"/>
      <c r="I296" s="135"/>
    </row>
  </sheetData>
  <sheetProtection algorithmName="SHA-512" hashValue="Qw3qB4HxbtKR5MGYdMcfrbNWtTuWRpLfcfwl08rDmTb3V03dgMmfJMcxW8bIiuHofqvCNzhLrd0EDhNMCQPdtw==" saltValue="Jl280V/5WAQQh7gL+0SCEQ==" spinCount="100000" sheet="1" objects="1" scenarios="1"/>
  <phoneticPr fontId="14" type="noConversion"/>
  <printOptions horizontalCentered="1"/>
  <pageMargins left="0.5" right="0.25" top="0.5" bottom="0.5" header="0.5" footer="0.5"/>
  <pageSetup scale="75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496A-0F54-478A-B9F1-1B3C7713052C}">
  <sheetPr>
    <tabColor theme="3" tint="0.79998168889431442"/>
  </sheetPr>
  <dimension ref="A1:N137"/>
  <sheetViews>
    <sheetView tabSelected="1" topLeftCell="A23" zoomScale="124" zoomScaleNormal="150" workbookViewId="0">
      <selection activeCell="A32" sqref="A32:XFD32"/>
    </sheetView>
  </sheetViews>
  <sheetFormatPr defaultColWidth="8.77734375" defaultRowHeight="13.2" x14ac:dyDescent="0.25"/>
  <cols>
    <col min="1" max="1" width="5.21875" style="154" customWidth="1"/>
    <col min="2" max="2" width="6.77734375" style="154" customWidth="1"/>
    <col min="3" max="3" width="63.21875" style="154" customWidth="1"/>
    <col min="4" max="4" width="13" style="154" customWidth="1"/>
    <col min="5" max="6" width="10.5546875" style="155" customWidth="1"/>
    <col min="7" max="7" width="14.5546875" style="155" customWidth="1"/>
    <col min="8" max="8" width="11.77734375" style="155" customWidth="1"/>
    <col min="9" max="9" width="121.44140625" style="154" customWidth="1"/>
    <col min="10" max="16384" width="8.77734375" style="154"/>
  </cols>
  <sheetData>
    <row r="1" spans="2:8" ht="3.75" customHeight="1" x14ac:dyDescent="0.25"/>
    <row r="2" spans="2:8" ht="17.399999999999999" x14ac:dyDescent="0.3">
      <c r="B2" s="156" t="s">
        <v>41</v>
      </c>
      <c r="C2" s="157"/>
      <c r="D2" s="157"/>
      <c r="E2" s="157"/>
      <c r="F2" s="157"/>
      <c r="G2" s="157"/>
      <c r="H2" s="158"/>
    </row>
    <row r="3" spans="2:8" ht="17.399999999999999" x14ac:dyDescent="0.3">
      <c r="B3" s="159" t="s">
        <v>42</v>
      </c>
      <c r="C3" s="160"/>
      <c r="D3" s="160"/>
      <c r="E3" s="160"/>
      <c r="F3" s="160"/>
      <c r="G3" s="160"/>
      <c r="H3" s="161"/>
    </row>
    <row r="4" spans="2:8" ht="17.399999999999999" x14ac:dyDescent="0.3">
      <c r="B4" s="159" t="s">
        <v>43</v>
      </c>
      <c r="C4" s="160"/>
      <c r="D4" s="160"/>
      <c r="E4" s="160"/>
      <c r="F4" s="160"/>
      <c r="G4" s="160"/>
      <c r="H4" s="161"/>
    </row>
    <row r="5" spans="2:8" ht="18" hidden="1" x14ac:dyDescent="0.35">
      <c r="B5" s="162" t="s">
        <v>169</v>
      </c>
      <c r="C5" s="163"/>
      <c r="D5" s="163"/>
      <c r="E5" s="163"/>
      <c r="F5" s="163"/>
      <c r="G5" s="163"/>
      <c r="H5" s="164" t="s">
        <v>170</v>
      </c>
    </row>
    <row r="6" spans="2:8" x14ac:dyDescent="0.25">
      <c r="B6" s="165"/>
      <c r="E6" s="154"/>
      <c r="F6" s="154"/>
      <c r="G6" s="154"/>
      <c r="H6" s="154"/>
    </row>
    <row r="7" spans="2:8" x14ac:dyDescent="0.25">
      <c r="C7" s="278" t="s">
        <v>222</v>
      </c>
      <c r="D7" s="279" t="s">
        <v>223</v>
      </c>
      <c r="E7" s="154"/>
      <c r="F7" s="154"/>
      <c r="G7" s="154"/>
      <c r="H7" s="154"/>
    </row>
    <row r="8" spans="2:8" ht="26.4" hidden="1" x14ac:dyDescent="0.25">
      <c r="B8" s="167" t="s">
        <v>44</v>
      </c>
      <c r="C8" s="168" t="s">
        <v>2</v>
      </c>
      <c r="D8" s="169"/>
      <c r="E8" s="169"/>
      <c r="F8" s="169"/>
      <c r="G8" s="170"/>
      <c r="H8" s="171" t="s">
        <v>45</v>
      </c>
    </row>
    <row r="9" spans="2:8" hidden="1" x14ac:dyDescent="0.25">
      <c r="B9" s="172" t="s">
        <v>46</v>
      </c>
      <c r="C9" s="173" t="s">
        <v>5</v>
      </c>
      <c r="D9" s="174"/>
      <c r="E9" s="174"/>
      <c r="F9" s="174"/>
      <c r="G9" s="175"/>
      <c r="H9" s="176"/>
    </row>
    <row r="10" spans="2:8" hidden="1" x14ac:dyDescent="0.25">
      <c r="B10" s="172" t="s">
        <v>128</v>
      </c>
      <c r="C10" s="177" t="s">
        <v>6</v>
      </c>
      <c r="D10" s="178"/>
      <c r="E10" s="178"/>
      <c r="F10" s="178"/>
      <c r="G10" s="179"/>
      <c r="H10" s="176">
        <v>0</v>
      </c>
    </row>
    <row r="11" spans="2:8" hidden="1" x14ac:dyDescent="0.25">
      <c r="B11" s="172" t="s">
        <v>129</v>
      </c>
      <c r="C11" s="177" t="s">
        <v>7</v>
      </c>
      <c r="D11" s="178"/>
      <c r="E11" s="178"/>
      <c r="F11" s="178"/>
      <c r="G11" s="179"/>
      <c r="H11" s="176">
        <v>0</v>
      </c>
    </row>
    <row r="12" spans="2:8" hidden="1" x14ac:dyDescent="0.25">
      <c r="B12" s="172" t="s">
        <v>130</v>
      </c>
      <c r="C12" s="177" t="s">
        <v>8</v>
      </c>
      <c r="D12" s="178"/>
      <c r="E12" s="178"/>
      <c r="F12" s="178"/>
      <c r="G12" s="179"/>
      <c r="H12" s="176">
        <v>0</v>
      </c>
    </row>
    <row r="13" spans="2:8" hidden="1" x14ac:dyDescent="0.25">
      <c r="B13" s="172" t="s">
        <v>131</v>
      </c>
      <c r="C13" s="177" t="s">
        <v>9</v>
      </c>
      <c r="D13" s="178"/>
      <c r="E13" s="178"/>
      <c r="F13" s="178"/>
      <c r="G13" s="179"/>
      <c r="H13" s="176">
        <v>0</v>
      </c>
    </row>
    <row r="14" spans="2:8" hidden="1" x14ac:dyDescent="0.25">
      <c r="B14" s="172" t="s">
        <v>132</v>
      </c>
      <c r="C14" s="177" t="s">
        <v>10</v>
      </c>
      <c r="D14" s="178"/>
      <c r="E14" s="178"/>
      <c r="F14" s="178"/>
      <c r="G14" s="179"/>
      <c r="H14" s="176">
        <v>0</v>
      </c>
    </row>
    <row r="15" spans="2:8" hidden="1" x14ac:dyDescent="0.25">
      <c r="B15" s="172" t="s">
        <v>133</v>
      </c>
      <c r="C15" s="180" t="s">
        <v>11</v>
      </c>
      <c r="D15" s="181"/>
      <c r="E15" s="181"/>
      <c r="F15" s="181"/>
      <c r="G15" s="182"/>
      <c r="H15" s="176">
        <f>H132</f>
        <v>0</v>
      </c>
    </row>
    <row r="16" spans="2:8" hidden="1" x14ac:dyDescent="0.25">
      <c r="B16" s="183"/>
      <c r="C16" s="184" t="s">
        <v>12</v>
      </c>
      <c r="D16" s="185"/>
      <c r="E16" s="185"/>
      <c r="F16" s="185"/>
      <c r="G16" s="185"/>
      <c r="H16" s="185">
        <f>H134</f>
        <v>58999</v>
      </c>
    </row>
    <row r="17" spans="1:9" ht="13.8" thickBot="1" x14ac:dyDescent="0.3">
      <c r="C17" s="166"/>
      <c r="E17" s="154"/>
      <c r="F17" s="154"/>
      <c r="G17" s="154"/>
      <c r="H17" s="154"/>
    </row>
    <row r="18" spans="1:9" ht="13.8" thickBot="1" x14ac:dyDescent="0.3">
      <c r="B18" s="186"/>
      <c r="C18" s="187"/>
      <c r="D18" s="188"/>
      <c r="E18" s="189"/>
      <c r="F18" s="189"/>
      <c r="G18" s="189"/>
      <c r="H18" s="190"/>
      <c r="I18" s="273"/>
    </row>
    <row r="19" spans="1:9" ht="26.4" x14ac:dyDescent="0.25">
      <c r="B19" s="167" t="s">
        <v>44</v>
      </c>
      <c r="C19" s="168" t="s">
        <v>47</v>
      </c>
      <c r="D19" s="191" t="s">
        <v>48</v>
      </c>
      <c r="E19" s="192" t="s">
        <v>49</v>
      </c>
      <c r="F19" s="192" t="s">
        <v>50</v>
      </c>
      <c r="G19" s="193" t="s">
        <v>51</v>
      </c>
      <c r="H19" s="194" t="s">
        <v>3</v>
      </c>
      <c r="I19" s="274" t="s">
        <v>52</v>
      </c>
    </row>
    <row r="20" spans="1:9" x14ac:dyDescent="0.25">
      <c r="B20" s="195" t="s">
        <v>53</v>
      </c>
      <c r="C20" s="196"/>
      <c r="D20" s="197"/>
      <c r="E20" s="198"/>
      <c r="F20" s="198"/>
      <c r="G20" s="198"/>
      <c r="H20" s="199"/>
      <c r="I20" s="275"/>
    </row>
    <row r="21" spans="1:9" x14ac:dyDescent="0.25">
      <c r="B21" s="200"/>
      <c r="C21" s="166" t="s">
        <v>54</v>
      </c>
      <c r="D21" s="197"/>
      <c r="E21" s="198"/>
      <c r="F21" s="198"/>
      <c r="G21" s="198"/>
      <c r="H21" s="201"/>
      <c r="I21" s="276"/>
    </row>
    <row r="22" spans="1:9" x14ac:dyDescent="0.25">
      <c r="B22" s="200"/>
      <c r="C22" s="203"/>
      <c r="D22" s="204"/>
      <c r="E22" s="205"/>
      <c r="F22" s="205"/>
      <c r="G22" s="205"/>
      <c r="H22" s="206">
        <v>0</v>
      </c>
      <c r="I22" s="273"/>
    </row>
    <row r="23" spans="1:9" x14ac:dyDescent="0.25">
      <c r="B23" s="200"/>
      <c r="D23" s="207"/>
      <c r="E23" s="208"/>
      <c r="F23" s="208"/>
      <c r="G23" s="208"/>
      <c r="H23" s="209"/>
      <c r="I23" s="276"/>
    </row>
    <row r="24" spans="1:9" x14ac:dyDescent="0.25">
      <c r="B24" s="195" t="s">
        <v>55</v>
      </c>
      <c r="C24" s="196"/>
      <c r="D24" s="210"/>
      <c r="E24" s="211"/>
      <c r="F24" s="211"/>
      <c r="G24" s="211"/>
      <c r="H24" s="212"/>
      <c r="I24" s="276"/>
    </row>
    <row r="25" spans="1:9" x14ac:dyDescent="0.25">
      <c r="B25" s="213">
        <v>1</v>
      </c>
      <c r="C25" s="165" t="s">
        <v>56</v>
      </c>
      <c r="D25" s="210"/>
      <c r="E25" s="211"/>
      <c r="F25" s="211"/>
      <c r="G25" s="211"/>
      <c r="H25" s="212"/>
      <c r="I25" s="276"/>
    </row>
    <row r="26" spans="1:9" x14ac:dyDescent="0.25">
      <c r="B26" s="172"/>
      <c r="C26" s="215" t="s">
        <v>57</v>
      </c>
      <c r="D26" s="216"/>
      <c r="E26" s="217"/>
      <c r="F26" s="217"/>
      <c r="G26" s="217"/>
      <c r="H26" s="218">
        <v>0</v>
      </c>
      <c r="I26" s="273"/>
    </row>
    <row r="27" spans="1:9" x14ac:dyDescent="0.25">
      <c r="B27" s="213">
        <v>1</v>
      </c>
      <c r="C27" s="165" t="s">
        <v>58</v>
      </c>
      <c r="D27" s="210"/>
      <c r="E27" s="211"/>
      <c r="F27" s="211"/>
      <c r="G27" s="211"/>
      <c r="H27" s="212"/>
      <c r="I27" s="276"/>
    </row>
    <row r="28" spans="1:9" x14ac:dyDescent="0.25">
      <c r="A28" s="154">
        <v>21</v>
      </c>
      <c r="B28" s="287" t="s">
        <v>226</v>
      </c>
      <c r="C28" s="177" t="s">
        <v>227</v>
      </c>
      <c r="D28" s="210" t="s">
        <v>83</v>
      </c>
      <c r="E28" s="211">
        <v>1</v>
      </c>
      <c r="F28" s="211">
        <v>5000</v>
      </c>
      <c r="G28" s="211">
        <v>1</v>
      </c>
      <c r="H28" s="212">
        <f>E28*F28*G28</f>
        <v>5000</v>
      </c>
      <c r="I28" s="276" t="s">
        <v>230</v>
      </c>
    </row>
    <row r="29" spans="1:9" x14ac:dyDescent="0.25">
      <c r="A29" s="154">
        <v>22</v>
      </c>
      <c r="B29" s="172" t="s">
        <v>65</v>
      </c>
      <c r="C29" s="177" t="s">
        <v>213</v>
      </c>
      <c r="D29" s="210" t="s">
        <v>59</v>
      </c>
      <c r="E29" s="214">
        <v>1.9</v>
      </c>
      <c r="F29" s="211">
        <v>610</v>
      </c>
      <c r="G29" s="211">
        <v>6</v>
      </c>
      <c r="H29" s="212">
        <f>E29*F29*G29</f>
        <v>6954</v>
      </c>
      <c r="I29" s="276" t="s">
        <v>224</v>
      </c>
    </row>
    <row r="30" spans="1:9" x14ac:dyDescent="0.25">
      <c r="A30" s="154">
        <v>23</v>
      </c>
      <c r="B30" s="172" t="s">
        <v>66</v>
      </c>
      <c r="C30" s="177" t="s">
        <v>181</v>
      </c>
      <c r="D30" s="210" t="s">
        <v>59</v>
      </c>
      <c r="E30" s="214">
        <v>0.125</v>
      </c>
      <c r="F30" s="211">
        <v>1000</v>
      </c>
      <c r="G30" s="211">
        <v>6</v>
      </c>
      <c r="H30" s="219">
        <f>E30*F30*G30</f>
        <v>750</v>
      </c>
      <c r="I30" s="276" t="s">
        <v>182</v>
      </c>
    </row>
    <row r="31" spans="1:9" x14ac:dyDescent="0.25">
      <c r="A31" s="154">
        <v>24</v>
      </c>
      <c r="B31" s="172" t="s">
        <v>67</v>
      </c>
      <c r="C31" s="177" t="s">
        <v>183</v>
      </c>
      <c r="D31" s="210" t="s">
        <v>60</v>
      </c>
      <c r="E31" s="214">
        <v>1</v>
      </c>
      <c r="F31" s="211">
        <v>600</v>
      </c>
      <c r="G31" s="211">
        <v>6</v>
      </c>
      <c r="H31" s="219">
        <f>E31*F31*G31</f>
        <v>3600</v>
      </c>
      <c r="I31" s="276" t="s">
        <v>184</v>
      </c>
    </row>
    <row r="32" spans="1:9" x14ac:dyDescent="0.25">
      <c r="A32" s="154">
        <v>25</v>
      </c>
      <c r="B32" s="172" t="s">
        <v>68</v>
      </c>
      <c r="C32" s="177" t="s">
        <v>185</v>
      </c>
      <c r="D32" s="210" t="s">
        <v>60</v>
      </c>
      <c r="E32" s="214">
        <v>1</v>
      </c>
      <c r="F32" s="211">
        <v>550</v>
      </c>
      <c r="G32" s="211">
        <v>6</v>
      </c>
      <c r="H32" s="219">
        <f t="shared" ref="H32:H36" si="0">E32*F32*G32</f>
        <v>3300</v>
      </c>
      <c r="I32" s="276" t="s">
        <v>186</v>
      </c>
    </row>
    <row r="33" spans="1:14" x14ac:dyDescent="0.25">
      <c r="A33" s="154">
        <v>26</v>
      </c>
      <c r="B33" s="172" t="s">
        <v>69</v>
      </c>
      <c r="C33" s="177" t="s">
        <v>187</v>
      </c>
      <c r="D33" s="210" t="s">
        <v>60</v>
      </c>
      <c r="E33" s="214">
        <v>0.5</v>
      </c>
      <c r="F33" s="211">
        <v>50</v>
      </c>
      <c r="G33" s="211">
        <v>6</v>
      </c>
      <c r="H33" s="219">
        <f t="shared" si="0"/>
        <v>150</v>
      </c>
      <c r="I33" s="276" t="s">
        <v>188</v>
      </c>
    </row>
    <row r="34" spans="1:14" x14ac:dyDescent="0.25">
      <c r="A34" s="154">
        <v>27</v>
      </c>
      <c r="B34" s="172" t="s">
        <v>70</v>
      </c>
      <c r="C34" s="177" t="s">
        <v>189</v>
      </c>
      <c r="D34" s="210" t="s">
        <v>60</v>
      </c>
      <c r="E34" s="214">
        <v>0.5</v>
      </c>
      <c r="F34" s="211">
        <v>70</v>
      </c>
      <c r="G34" s="211">
        <v>6</v>
      </c>
      <c r="H34" s="219">
        <f t="shared" si="0"/>
        <v>210</v>
      </c>
      <c r="I34" s="276" t="s">
        <v>190</v>
      </c>
    </row>
    <row r="35" spans="1:14" x14ac:dyDescent="0.25">
      <c r="A35" s="154">
        <v>28</v>
      </c>
      <c r="B35" s="172" t="s">
        <v>71</v>
      </c>
      <c r="C35" s="177" t="s">
        <v>191</v>
      </c>
      <c r="D35" s="210" t="s">
        <v>60</v>
      </c>
      <c r="E35" s="214">
        <v>0.5</v>
      </c>
      <c r="F35" s="211">
        <v>50</v>
      </c>
      <c r="G35" s="211">
        <v>6</v>
      </c>
      <c r="H35" s="219">
        <f t="shared" si="0"/>
        <v>150</v>
      </c>
      <c r="I35" s="276" t="s">
        <v>192</v>
      </c>
    </row>
    <row r="36" spans="1:14" x14ac:dyDescent="0.25">
      <c r="A36" s="154">
        <v>29</v>
      </c>
      <c r="B36" s="172" t="s">
        <v>72</v>
      </c>
      <c r="C36" s="177" t="s">
        <v>193</v>
      </c>
      <c r="D36" s="210" t="s">
        <v>60</v>
      </c>
      <c r="E36" s="214">
        <v>1</v>
      </c>
      <c r="F36" s="211">
        <v>670</v>
      </c>
      <c r="G36" s="211">
        <v>6</v>
      </c>
      <c r="H36" s="219">
        <f t="shared" si="0"/>
        <v>4020</v>
      </c>
      <c r="I36" s="276" t="s">
        <v>194</v>
      </c>
    </row>
    <row r="37" spans="1:14" x14ac:dyDescent="0.25">
      <c r="A37" s="154">
        <v>30</v>
      </c>
      <c r="B37" s="172" t="s">
        <v>225</v>
      </c>
      <c r="C37" s="177" t="s">
        <v>220</v>
      </c>
      <c r="D37" s="210" t="s">
        <v>59</v>
      </c>
      <c r="E37" s="214">
        <v>2</v>
      </c>
      <c r="F37" s="211">
        <v>300</v>
      </c>
      <c r="G37" s="211">
        <v>6</v>
      </c>
      <c r="H37" s="219">
        <f>E37*F37*G37</f>
        <v>3600</v>
      </c>
      <c r="I37" s="276" t="s">
        <v>221</v>
      </c>
    </row>
    <row r="38" spans="1:14" x14ac:dyDescent="0.25">
      <c r="A38" s="154">
        <v>31</v>
      </c>
      <c r="B38" s="172" t="s">
        <v>65</v>
      </c>
      <c r="C38" s="280" t="s">
        <v>214</v>
      </c>
      <c r="D38" s="210" t="s">
        <v>59</v>
      </c>
      <c r="E38" s="214">
        <v>1</v>
      </c>
      <c r="F38" s="211">
        <v>550</v>
      </c>
      <c r="G38" s="211">
        <v>6</v>
      </c>
      <c r="H38" s="219">
        <f>E38*F38*G38</f>
        <v>3300</v>
      </c>
      <c r="I38" s="276" t="s">
        <v>215</v>
      </c>
    </row>
    <row r="39" spans="1:14" ht="13.8" thickBot="1" x14ac:dyDescent="0.3">
      <c r="A39" s="154">
        <v>32</v>
      </c>
      <c r="B39" s="172" t="s">
        <v>70</v>
      </c>
      <c r="C39" s="281" t="s">
        <v>217</v>
      </c>
      <c r="D39" s="210" t="s">
        <v>60</v>
      </c>
      <c r="E39" s="214">
        <v>1</v>
      </c>
      <c r="F39" s="211">
        <v>50</v>
      </c>
      <c r="G39" s="211">
        <v>6</v>
      </c>
      <c r="H39" s="219">
        <f>E39*F39*G39</f>
        <v>300</v>
      </c>
      <c r="I39" s="276" t="s">
        <v>218</v>
      </c>
    </row>
    <row r="40" spans="1:14" ht="13.8" thickBot="1" x14ac:dyDescent="0.3">
      <c r="B40" s="172"/>
      <c r="C40" s="215" t="s">
        <v>61</v>
      </c>
      <c r="D40" s="216"/>
      <c r="E40" s="217"/>
      <c r="F40" s="217"/>
      <c r="G40" s="217"/>
      <c r="H40" s="218">
        <f>SUM(H28:H39)</f>
        <v>31334</v>
      </c>
      <c r="I40" s="273"/>
    </row>
    <row r="41" spans="1:14" x14ac:dyDescent="0.25">
      <c r="B41" s="172"/>
      <c r="C41" s="220"/>
      <c r="E41" s="221"/>
      <c r="F41" s="221"/>
      <c r="G41" s="221"/>
      <c r="H41" s="222"/>
      <c r="I41" s="276"/>
    </row>
    <row r="42" spans="1:14" x14ac:dyDescent="0.25">
      <c r="B42" s="172"/>
      <c r="C42" s="165" t="s">
        <v>62</v>
      </c>
      <c r="E42" s="154"/>
      <c r="F42" s="154"/>
      <c r="G42" s="154"/>
      <c r="H42" s="154"/>
      <c r="I42" s="276"/>
    </row>
    <row r="43" spans="1:14" x14ac:dyDescent="0.25">
      <c r="B43" s="172"/>
      <c r="C43" s="215" t="s">
        <v>63</v>
      </c>
      <c r="D43" s="223"/>
      <c r="E43" s="224"/>
      <c r="F43" s="224"/>
      <c r="G43" s="224"/>
      <c r="H43" s="225">
        <v>0</v>
      </c>
      <c r="I43" s="276"/>
    </row>
    <row r="44" spans="1:14" x14ac:dyDescent="0.25">
      <c r="B44" s="172"/>
      <c r="D44" s="210"/>
      <c r="E44" s="211"/>
      <c r="F44" s="211"/>
      <c r="G44" s="211"/>
      <c r="H44" s="212"/>
      <c r="I44" s="276"/>
    </row>
    <row r="45" spans="1:14" x14ac:dyDescent="0.25">
      <c r="B45" s="213">
        <v>3</v>
      </c>
      <c r="C45" s="165" t="s">
        <v>64</v>
      </c>
      <c r="D45" s="210"/>
      <c r="E45" s="211"/>
      <c r="F45" s="211"/>
      <c r="G45" s="211"/>
      <c r="H45" s="212"/>
      <c r="I45" s="276"/>
    </row>
    <row r="46" spans="1:14" x14ac:dyDescent="0.25">
      <c r="A46" s="154">
        <v>40</v>
      </c>
      <c r="B46" s="172" t="s">
        <v>76</v>
      </c>
      <c r="C46" s="20" t="s">
        <v>228</v>
      </c>
      <c r="D46" s="210" t="s">
        <v>59</v>
      </c>
      <c r="E46" s="214">
        <v>0.25</v>
      </c>
      <c r="F46" s="211">
        <v>1200</v>
      </c>
      <c r="G46" s="211">
        <v>6</v>
      </c>
      <c r="H46" s="212">
        <f t="shared" ref="H46:H50" si="1">E46*F46*G46</f>
        <v>1800</v>
      </c>
      <c r="I46" s="276" t="s">
        <v>195</v>
      </c>
    </row>
    <row r="47" spans="1:14" x14ac:dyDescent="0.25">
      <c r="A47" s="154">
        <v>41</v>
      </c>
      <c r="B47" s="172" t="s">
        <v>77</v>
      </c>
      <c r="C47" s="20" t="s">
        <v>196</v>
      </c>
      <c r="D47" s="210" t="s">
        <v>59</v>
      </c>
      <c r="E47" s="214">
        <v>1.5</v>
      </c>
      <c r="F47" s="211">
        <v>540</v>
      </c>
      <c r="G47" s="211">
        <v>6</v>
      </c>
      <c r="H47" s="212">
        <f t="shared" si="1"/>
        <v>4860</v>
      </c>
      <c r="I47" s="276" t="s">
        <v>197</v>
      </c>
      <c r="N47" s="154">
        <f>(H57/8)*6</f>
        <v>6783.75</v>
      </c>
    </row>
    <row r="48" spans="1:14" x14ac:dyDescent="0.25">
      <c r="A48" s="154">
        <v>42</v>
      </c>
      <c r="B48" s="172" t="s">
        <v>171</v>
      </c>
      <c r="C48" s="20" t="s">
        <v>198</v>
      </c>
      <c r="D48" s="210" t="s">
        <v>60</v>
      </c>
      <c r="E48" s="214">
        <v>1</v>
      </c>
      <c r="F48" s="211">
        <v>200</v>
      </c>
      <c r="G48" s="211">
        <v>6</v>
      </c>
      <c r="H48" s="212">
        <f t="shared" si="1"/>
        <v>1200</v>
      </c>
      <c r="I48" s="276" t="s">
        <v>199</v>
      </c>
    </row>
    <row r="49" spans="1:9" x14ac:dyDescent="0.25">
      <c r="A49" s="154">
        <v>55</v>
      </c>
      <c r="B49" s="172" t="s">
        <v>172</v>
      </c>
      <c r="C49" s="20" t="s">
        <v>200</v>
      </c>
      <c r="D49" s="210" t="s">
        <v>73</v>
      </c>
      <c r="E49" s="214">
        <v>6</v>
      </c>
      <c r="F49" s="211">
        <v>60</v>
      </c>
      <c r="G49" s="211">
        <v>1</v>
      </c>
      <c r="H49" s="212">
        <f t="shared" si="1"/>
        <v>360</v>
      </c>
      <c r="I49" s="276" t="s">
        <v>201</v>
      </c>
    </row>
    <row r="50" spans="1:9" ht="13.8" thickBot="1" x14ac:dyDescent="0.3">
      <c r="A50" s="154">
        <v>56</v>
      </c>
      <c r="B50" s="172" t="s">
        <v>173</v>
      </c>
      <c r="C50" s="20" t="s">
        <v>229</v>
      </c>
      <c r="D50" s="210" t="s">
        <v>59</v>
      </c>
      <c r="E50" s="214">
        <v>0.5</v>
      </c>
      <c r="F50" s="211">
        <v>550</v>
      </c>
      <c r="G50" s="211">
        <v>6</v>
      </c>
      <c r="H50" s="212">
        <f t="shared" si="1"/>
        <v>1650</v>
      </c>
      <c r="I50" s="276" t="s">
        <v>212</v>
      </c>
    </row>
    <row r="51" spans="1:9" ht="13.8" thickBot="1" x14ac:dyDescent="0.3">
      <c r="B51" s="172"/>
      <c r="C51" s="215" t="s">
        <v>74</v>
      </c>
      <c r="D51" s="216"/>
      <c r="E51" s="217"/>
      <c r="F51" s="217"/>
      <c r="G51" s="217"/>
      <c r="H51" s="218">
        <f>SUM(H46:H50)</f>
        <v>9870</v>
      </c>
      <c r="I51" s="273"/>
    </row>
    <row r="52" spans="1:9" x14ac:dyDescent="0.25">
      <c r="B52" s="172"/>
      <c r="D52" s="210"/>
      <c r="E52" s="211"/>
      <c r="F52" s="211"/>
      <c r="G52" s="211"/>
      <c r="H52" s="212"/>
      <c r="I52" s="276"/>
    </row>
    <row r="53" spans="1:9" ht="13.8" thickBot="1" x14ac:dyDescent="0.3">
      <c r="B53" s="213">
        <v>4</v>
      </c>
      <c r="C53" s="165" t="s">
        <v>75</v>
      </c>
      <c r="D53" s="210"/>
      <c r="E53" s="211"/>
      <c r="F53" s="211"/>
      <c r="G53" s="211"/>
      <c r="H53" s="212"/>
      <c r="I53" s="276"/>
    </row>
    <row r="54" spans="1:9" ht="13.8" thickBot="1" x14ac:dyDescent="0.3">
      <c r="B54" s="172"/>
      <c r="C54" s="215" t="s">
        <v>78</v>
      </c>
      <c r="D54" s="216"/>
      <c r="E54" s="217"/>
      <c r="F54" s="217"/>
      <c r="G54" s="217"/>
      <c r="H54" s="218">
        <v>0</v>
      </c>
      <c r="I54" s="273"/>
    </row>
    <row r="55" spans="1:9" x14ac:dyDescent="0.25">
      <c r="B55" s="172"/>
      <c r="D55" s="210"/>
      <c r="E55" s="211"/>
      <c r="F55" s="211"/>
      <c r="G55" s="211"/>
      <c r="H55" s="212"/>
      <c r="I55" s="276"/>
    </row>
    <row r="56" spans="1:9" x14ac:dyDescent="0.25">
      <c r="B56" s="213">
        <v>5</v>
      </c>
      <c r="C56" s="165" t="s">
        <v>79</v>
      </c>
      <c r="D56" s="210"/>
      <c r="E56" s="211"/>
      <c r="F56" s="211"/>
      <c r="G56" s="211"/>
      <c r="H56" s="212"/>
      <c r="I56" s="276"/>
    </row>
    <row r="57" spans="1:9" ht="13.8" thickBot="1" x14ac:dyDescent="0.3">
      <c r="A57" s="154">
        <v>71</v>
      </c>
      <c r="B57" s="172" t="s">
        <v>174</v>
      </c>
      <c r="C57" s="177" t="s">
        <v>202</v>
      </c>
      <c r="D57" s="210" t="s">
        <v>59</v>
      </c>
      <c r="E57" s="214">
        <v>2.25</v>
      </c>
      <c r="F57" s="211">
        <v>670</v>
      </c>
      <c r="G57" s="211">
        <v>6</v>
      </c>
      <c r="H57" s="272">
        <f>E57*F57*G57</f>
        <v>9045</v>
      </c>
      <c r="I57" s="276" t="s">
        <v>219</v>
      </c>
    </row>
    <row r="58" spans="1:9" ht="13.8" thickBot="1" x14ac:dyDescent="0.3">
      <c r="B58" s="172"/>
      <c r="C58" s="215" t="s">
        <v>80</v>
      </c>
      <c r="D58" s="216"/>
      <c r="E58" s="217"/>
      <c r="F58" s="217"/>
      <c r="G58" s="217"/>
      <c r="H58" s="218">
        <f>SUM(H57:H57)</f>
        <v>9045</v>
      </c>
      <c r="I58" s="273"/>
    </row>
    <row r="59" spans="1:9" ht="13.8" thickBot="1" x14ac:dyDescent="0.3">
      <c r="B59" s="172"/>
      <c r="D59" s="210"/>
      <c r="E59" s="226"/>
      <c r="F59" s="226"/>
      <c r="G59" s="226"/>
      <c r="H59" s="219"/>
      <c r="I59" s="276"/>
    </row>
    <row r="60" spans="1:9" ht="13.8" thickBot="1" x14ac:dyDescent="0.3">
      <c r="B60" s="172"/>
      <c r="C60" s="203" t="s">
        <v>81</v>
      </c>
      <c r="D60" s="204"/>
      <c r="E60" s="205"/>
      <c r="F60" s="205"/>
      <c r="G60" s="205"/>
      <c r="H60" s="206">
        <f>H58+H54+H51+H43+H40+H26</f>
        <v>50249</v>
      </c>
      <c r="I60" s="273"/>
    </row>
    <row r="61" spans="1:9" x14ac:dyDescent="0.25">
      <c r="B61" s="172"/>
      <c r="D61" s="210"/>
      <c r="E61" s="211"/>
      <c r="F61" s="211"/>
      <c r="G61" s="211"/>
      <c r="H61" s="212"/>
      <c r="I61" s="276"/>
    </row>
    <row r="62" spans="1:9" x14ac:dyDescent="0.25">
      <c r="B62" s="195" t="s">
        <v>82</v>
      </c>
      <c r="C62" s="196"/>
      <c r="D62" s="210"/>
      <c r="E62" s="211"/>
      <c r="F62" s="211"/>
      <c r="G62" s="211"/>
      <c r="H62" s="212"/>
      <c r="I62" s="276"/>
    </row>
    <row r="63" spans="1:9" x14ac:dyDescent="0.25">
      <c r="B63" s="213">
        <v>1</v>
      </c>
      <c r="C63" s="165" t="s">
        <v>19</v>
      </c>
      <c r="D63" s="210"/>
      <c r="E63" s="211"/>
      <c r="F63" s="211"/>
      <c r="G63" s="211"/>
      <c r="H63" s="212"/>
      <c r="I63" s="276"/>
    </row>
    <row r="64" spans="1:9" x14ac:dyDescent="0.25">
      <c r="A64" s="154">
        <v>102</v>
      </c>
      <c r="B64" s="172" t="s">
        <v>175</v>
      </c>
      <c r="C64" s="177" t="s">
        <v>203</v>
      </c>
      <c r="D64" s="210" t="s">
        <v>83</v>
      </c>
      <c r="E64" s="214">
        <v>1</v>
      </c>
      <c r="F64" s="288">
        <v>1250</v>
      </c>
      <c r="G64" s="211">
        <v>1</v>
      </c>
      <c r="H64" s="212">
        <f t="shared" ref="H64:H67" si="2">E64*F64*G64</f>
        <v>1250</v>
      </c>
      <c r="I64" s="276" t="s">
        <v>204</v>
      </c>
    </row>
    <row r="65" spans="1:9" x14ac:dyDescent="0.25">
      <c r="B65" s="172"/>
      <c r="C65" s="177"/>
      <c r="D65" s="210"/>
      <c r="E65" s="214"/>
      <c r="F65" s="211"/>
      <c r="G65" s="211"/>
      <c r="H65" s="212"/>
      <c r="I65" s="276"/>
    </row>
    <row r="66" spans="1:9" x14ac:dyDescent="0.25">
      <c r="B66" s="172"/>
      <c r="C66" s="177"/>
      <c r="D66" s="210"/>
      <c r="E66" s="211"/>
      <c r="F66" s="211"/>
      <c r="G66" s="211"/>
      <c r="H66" s="212">
        <f t="shared" si="2"/>
        <v>0</v>
      </c>
      <c r="I66" s="276"/>
    </row>
    <row r="67" spans="1:9" x14ac:dyDescent="0.25">
      <c r="B67" s="172"/>
      <c r="C67" s="290"/>
      <c r="D67" s="289"/>
      <c r="E67" s="211"/>
      <c r="F67" s="211"/>
      <c r="G67" s="211"/>
      <c r="H67" s="212">
        <f t="shared" si="2"/>
        <v>0</v>
      </c>
      <c r="I67" s="276"/>
    </row>
    <row r="68" spans="1:9" ht="13.8" hidden="1" thickBot="1" x14ac:dyDescent="0.3">
      <c r="A68" s="154">
        <v>106</v>
      </c>
      <c r="B68" s="172"/>
      <c r="C68" s="215" t="s">
        <v>84</v>
      </c>
      <c r="D68" s="216"/>
      <c r="E68" s="217"/>
      <c r="F68" s="217"/>
      <c r="G68" s="217"/>
      <c r="H68" s="218">
        <f>SUM(H64:H67)</f>
        <v>1250</v>
      </c>
      <c r="I68" s="273"/>
    </row>
    <row r="69" spans="1:9" hidden="1" x14ac:dyDescent="0.25">
      <c r="B69" s="227">
        <v>2</v>
      </c>
      <c r="C69" s="165" t="s">
        <v>20</v>
      </c>
      <c r="D69" s="228"/>
      <c r="E69" s="229"/>
      <c r="F69" s="229"/>
      <c r="G69" s="229"/>
      <c r="H69" s="230"/>
      <c r="I69" s="276"/>
    </row>
    <row r="70" spans="1:9" x14ac:dyDescent="0.25">
      <c r="A70" s="154">
        <v>111</v>
      </c>
      <c r="B70" s="172" t="s">
        <v>176</v>
      </c>
      <c r="C70" s="177" t="s">
        <v>205</v>
      </c>
      <c r="D70" s="210" t="s">
        <v>60</v>
      </c>
      <c r="E70" s="214">
        <v>1</v>
      </c>
      <c r="F70" s="211">
        <v>250</v>
      </c>
      <c r="G70" s="211">
        <v>6</v>
      </c>
      <c r="H70" s="212">
        <f t="shared" ref="H70:H72" si="3">E70*F70*G70</f>
        <v>1500</v>
      </c>
      <c r="I70" s="276" t="s">
        <v>206</v>
      </c>
    </row>
    <row r="71" spans="1:9" x14ac:dyDescent="0.25">
      <c r="B71" s="172"/>
      <c r="C71" s="177"/>
      <c r="D71" s="210"/>
      <c r="E71" s="211"/>
      <c r="F71" s="211"/>
      <c r="G71" s="211"/>
      <c r="H71" s="212">
        <f t="shared" si="3"/>
        <v>0</v>
      </c>
      <c r="I71" s="276"/>
    </row>
    <row r="72" spans="1:9" ht="13.8" thickBot="1" x14ac:dyDescent="0.3">
      <c r="B72" s="172"/>
      <c r="C72" s="177"/>
      <c r="D72" s="210"/>
      <c r="E72" s="211"/>
      <c r="F72" s="211"/>
      <c r="G72" s="211"/>
      <c r="H72" s="212">
        <f t="shared" si="3"/>
        <v>0</v>
      </c>
      <c r="I72" s="276"/>
    </row>
    <row r="73" spans="1:9" ht="13.8" hidden="1" thickBot="1" x14ac:dyDescent="0.3">
      <c r="A73" s="154">
        <v>113</v>
      </c>
      <c r="B73" s="172"/>
      <c r="C73" s="215" t="s">
        <v>85</v>
      </c>
      <c r="D73" s="216"/>
      <c r="E73" s="217"/>
      <c r="F73" s="217"/>
      <c r="G73" s="217"/>
      <c r="H73" s="231">
        <f>SUM(H70:H72)</f>
        <v>1500</v>
      </c>
      <c r="I73" s="273"/>
    </row>
    <row r="74" spans="1:9" ht="13.8" hidden="1" thickBot="1" x14ac:dyDescent="0.3">
      <c r="B74" s="172"/>
      <c r="D74" s="210"/>
      <c r="E74" s="226"/>
      <c r="F74" s="226"/>
      <c r="G74" s="226"/>
      <c r="H74" s="219"/>
      <c r="I74" s="276"/>
    </row>
    <row r="75" spans="1:9" ht="13.8" thickBot="1" x14ac:dyDescent="0.3">
      <c r="B75" s="172"/>
      <c r="C75" s="203" t="s">
        <v>86</v>
      </c>
      <c r="D75" s="232"/>
      <c r="E75" s="205"/>
      <c r="F75" s="205"/>
      <c r="G75" s="205"/>
      <c r="H75" s="206">
        <f>SUM(H73,H68)</f>
        <v>2750</v>
      </c>
      <c r="I75" s="273"/>
    </row>
    <row r="76" spans="1:9" ht="13.8" thickBot="1" x14ac:dyDescent="0.3">
      <c r="B76" s="172"/>
      <c r="D76" s="210"/>
      <c r="E76" s="226"/>
      <c r="F76" s="226"/>
      <c r="G76" s="226"/>
      <c r="H76" s="219"/>
      <c r="I76" s="276"/>
    </row>
    <row r="77" spans="1:9" ht="13.8" thickBot="1" x14ac:dyDescent="0.3">
      <c r="B77" s="233"/>
      <c r="C77" s="234" t="s">
        <v>87</v>
      </c>
      <c r="D77" s="235"/>
      <c r="E77" s="236"/>
      <c r="F77" s="236"/>
      <c r="G77" s="236"/>
      <c r="H77" s="237">
        <f>SUM(H75,H60,H22)</f>
        <v>52999</v>
      </c>
      <c r="I77" s="275"/>
    </row>
    <row r="78" spans="1:9" ht="13.8" thickBot="1" x14ac:dyDescent="0.3">
      <c r="B78" s="172"/>
      <c r="D78" s="210"/>
      <c r="E78" s="211"/>
      <c r="F78" s="211"/>
      <c r="G78" s="211"/>
      <c r="H78" s="212"/>
      <c r="I78" s="273"/>
    </row>
    <row r="79" spans="1:9" x14ac:dyDescent="0.25">
      <c r="B79" s="238" t="s">
        <v>88</v>
      </c>
      <c r="C79" s="239"/>
      <c r="D79" s="207"/>
      <c r="E79" s="208"/>
      <c r="F79" s="208"/>
      <c r="G79" s="208"/>
      <c r="H79" s="240"/>
      <c r="I79" s="276"/>
    </row>
    <row r="80" spans="1:9" x14ac:dyDescent="0.25">
      <c r="B80" s="241"/>
      <c r="D80" s="210"/>
      <c r="E80" s="211"/>
      <c r="F80" s="211"/>
      <c r="G80" s="211"/>
      <c r="H80" s="242"/>
      <c r="I80" s="276"/>
    </row>
    <row r="81" spans="1:9" x14ac:dyDescent="0.25">
      <c r="B81" s="200"/>
      <c r="C81" s="165" t="s">
        <v>89</v>
      </c>
      <c r="D81" s="197"/>
      <c r="E81" s="198"/>
      <c r="F81" s="198"/>
      <c r="G81" s="198"/>
      <c r="H81" s="202"/>
      <c r="I81" s="276"/>
    </row>
    <row r="82" spans="1:9" x14ac:dyDescent="0.25">
      <c r="A82" s="154">
        <v>124</v>
      </c>
      <c r="B82" s="172" t="s">
        <v>177</v>
      </c>
      <c r="C82" s="177" t="s">
        <v>207</v>
      </c>
      <c r="D82" s="282" t="s">
        <v>59</v>
      </c>
      <c r="E82" s="283">
        <v>1</v>
      </c>
      <c r="F82" s="284">
        <v>450</v>
      </c>
      <c r="G82" s="284">
        <v>6</v>
      </c>
      <c r="H82" s="202">
        <f t="shared" ref="H82:H84" si="4">E82*F82*G82</f>
        <v>2700</v>
      </c>
      <c r="I82" s="276" t="s">
        <v>216</v>
      </c>
    </row>
    <row r="83" spans="1:9" x14ac:dyDescent="0.25">
      <c r="B83" s="172"/>
      <c r="C83" s="177"/>
      <c r="D83" s="197"/>
      <c r="E83" s="198"/>
      <c r="F83" s="198"/>
      <c r="G83" s="198"/>
      <c r="H83" s="202">
        <f t="shared" si="4"/>
        <v>0</v>
      </c>
      <c r="I83" s="276"/>
    </row>
    <row r="84" spans="1:9" x14ac:dyDescent="0.25">
      <c r="B84" s="172"/>
      <c r="C84" s="177"/>
      <c r="D84" s="197"/>
      <c r="E84" s="198"/>
      <c r="F84" s="198"/>
      <c r="G84" s="198"/>
      <c r="H84" s="202">
        <f t="shared" si="4"/>
        <v>0</v>
      </c>
      <c r="I84" s="276"/>
    </row>
    <row r="85" spans="1:9" ht="13.8" hidden="1" thickBot="1" x14ac:dyDescent="0.3">
      <c r="B85" s="200"/>
      <c r="C85" s="215" t="s">
        <v>90</v>
      </c>
      <c r="D85" s="243"/>
      <c r="E85" s="217"/>
      <c r="F85" s="217"/>
      <c r="G85" s="217"/>
      <c r="H85" s="218">
        <f>SUM(H82:H84)</f>
        <v>2700</v>
      </c>
      <c r="I85" s="273"/>
    </row>
    <row r="86" spans="1:9" hidden="1" x14ac:dyDescent="0.25">
      <c r="B86" s="172"/>
      <c r="D86" s="210"/>
      <c r="E86" s="211"/>
      <c r="F86" s="211"/>
      <c r="G86" s="211"/>
      <c r="H86" s="212"/>
      <c r="I86" s="276"/>
    </row>
    <row r="87" spans="1:9" x14ac:dyDescent="0.25">
      <c r="B87" s="200"/>
      <c r="C87" s="165" t="s">
        <v>91</v>
      </c>
      <c r="D87" s="210"/>
      <c r="E87" s="211"/>
      <c r="F87" s="211"/>
      <c r="G87" s="211"/>
      <c r="H87" s="212"/>
      <c r="I87" s="276"/>
    </row>
    <row r="88" spans="1:9" x14ac:dyDescent="0.25">
      <c r="A88" s="154">
        <v>131</v>
      </c>
      <c r="B88" s="244" t="s">
        <v>178</v>
      </c>
      <c r="C88" s="177"/>
      <c r="D88" s="210"/>
      <c r="E88" s="211"/>
      <c r="F88" s="211"/>
      <c r="G88" s="211"/>
      <c r="H88" s="212">
        <f t="shared" ref="H88:H89" si="5">E88*F88*G88</f>
        <v>0</v>
      </c>
      <c r="I88" s="276"/>
    </row>
    <row r="89" spans="1:9" ht="13.8" thickBot="1" x14ac:dyDescent="0.3">
      <c r="A89" s="154">
        <v>132</v>
      </c>
      <c r="B89" s="244" t="s">
        <v>92</v>
      </c>
      <c r="C89" s="177"/>
      <c r="D89" s="210"/>
      <c r="E89" s="211"/>
      <c r="F89" s="211"/>
      <c r="G89" s="211"/>
      <c r="H89" s="212">
        <f t="shared" si="5"/>
        <v>0</v>
      </c>
      <c r="I89" s="276"/>
    </row>
    <row r="90" spans="1:9" ht="13.8" thickBot="1" x14ac:dyDescent="0.3">
      <c r="B90" s="200"/>
      <c r="C90" s="215" t="s">
        <v>93</v>
      </c>
      <c r="D90" s="243"/>
      <c r="E90" s="217"/>
      <c r="F90" s="217"/>
      <c r="G90" s="217"/>
      <c r="H90" s="218">
        <f>SUM(H88:H89)</f>
        <v>0</v>
      </c>
      <c r="I90" s="273"/>
    </row>
    <row r="91" spans="1:9" hidden="1" x14ac:dyDescent="0.25">
      <c r="B91" s="200"/>
      <c r="D91" s="210"/>
      <c r="E91" s="211"/>
      <c r="F91" s="211"/>
      <c r="G91" s="211"/>
      <c r="H91" s="212"/>
      <c r="I91" s="276"/>
    </row>
    <row r="92" spans="1:9" x14ac:dyDescent="0.25">
      <c r="B92" s="200"/>
      <c r="C92" s="165" t="s">
        <v>94</v>
      </c>
      <c r="D92" s="210"/>
      <c r="E92" s="211"/>
      <c r="F92" s="211"/>
      <c r="G92" s="211"/>
      <c r="H92" s="212"/>
      <c r="I92" s="276"/>
    </row>
    <row r="93" spans="1:9" x14ac:dyDescent="0.25">
      <c r="B93" s="244" t="s">
        <v>95</v>
      </c>
      <c r="C93" s="177"/>
      <c r="D93" s="210"/>
      <c r="E93" s="211"/>
      <c r="F93" s="211"/>
      <c r="G93" s="211"/>
      <c r="H93" s="212">
        <f t="shared" ref="H93:H94" si="6">E93*F93*G93</f>
        <v>0</v>
      </c>
      <c r="I93" s="276"/>
    </row>
    <row r="94" spans="1:9" x14ac:dyDescent="0.25">
      <c r="A94" s="154">
        <v>145</v>
      </c>
      <c r="B94" s="244" t="s">
        <v>96</v>
      </c>
      <c r="C94" s="177"/>
      <c r="D94" s="210"/>
      <c r="E94" s="211"/>
      <c r="F94" s="211"/>
      <c r="G94" s="211"/>
      <c r="H94" s="212">
        <f t="shared" si="6"/>
        <v>0</v>
      </c>
      <c r="I94" s="276"/>
    </row>
    <row r="95" spans="1:9" ht="13.8" hidden="1" thickBot="1" x14ac:dyDescent="0.3">
      <c r="A95" s="154">
        <v>146</v>
      </c>
      <c r="B95" s="200"/>
      <c r="C95" s="215" t="s">
        <v>97</v>
      </c>
      <c r="D95" s="243"/>
      <c r="E95" s="217"/>
      <c r="F95" s="217"/>
      <c r="G95" s="217"/>
      <c r="H95" s="218">
        <f>SUM(H93:H94)</f>
        <v>0</v>
      </c>
      <c r="I95" s="273"/>
    </row>
    <row r="96" spans="1:9" hidden="1" x14ac:dyDescent="0.25">
      <c r="B96" s="200"/>
      <c r="D96" s="210"/>
      <c r="E96" s="211"/>
      <c r="F96" s="211"/>
      <c r="G96" s="211"/>
      <c r="H96" s="212"/>
      <c r="I96" s="276"/>
    </row>
    <row r="97" spans="1:9" x14ac:dyDescent="0.25">
      <c r="B97" s="200"/>
      <c r="C97" s="165" t="s">
        <v>98</v>
      </c>
      <c r="D97" s="210"/>
      <c r="E97" s="211"/>
      <c r="F97" s="211"/>
      <c r="G97" s="211"/>
      <c r="H97" s="212"/>
      <c r="I97" s="276"/>
    </row>
    <row r="98" spans="1:9" x14ac:dyDescent="0.25">
      <c r="B98" s="200"/>
      <c r="C98" s="166" t="s">
        <v>99</v>
      </c>
      <c r="D98" s="210"/>
      <c r="E98" s="211"/>
      <c r="F98" s="211"/>
      <c r="G98" s="211"/>
      <c r="H98" s="212"/>
      <c r="I98" s="276"/>
    </row>
    <row r="99" spans="1:9" x14ac:dyDescent="0.25">
      <c r="C99" s="177"/>
      <c r="D99" s="210"/>
      <c r="E99" s="211"/>
      <c r="F99" s="211"/>
      <c r="G99" s="211"/>
      <c r="H99" s="212">
        <f t="shared" ref="H99:H100" si="7">E99*F99*G99</f>
        <v>0</v>
      </c>
      <c r="I99" s="276"/>
    </row>
    <row r="100" spans="1:9" ht="12.6" customHeight="1" x14ac:dyDescent="0.25">
      <c r="A100" s="154">
        <v>154</v>
      </c>
      <c r="B100" s="200" t="s">
        <v>101</v>
      </c>
      <c r="C100" s="177"/>
      <c r="D100" s="210"/>
      <c r="E100" s="211"/>
      <c r="F100" s="211"/>
      <c r="G100" s="211"/>
      <c r="H100" s="212">
        <f t="shared" si="7"/>
        <v>0</v>
      </c>
      <c r="I100" s="276"/>
    </row>
    <row r="101" spans="1:9" x14ac:dyDescent="0.25">
      <c r="A101" s="154">
        <v>155</v>
      </c>
      <c r="B101" s="200" t="s">
        <v>100</v>
      </c>
      <c r="C101" s="20" t="s">
        <v>208</v>
      </c>
      <c r="D101" s="285" t="s">
        <v>209</v>
      </c>
      <c r="E101" s="286">
        <v>1</v>
      </c>
      <c r="F101" s="17">
        <v>500</v>
      </c>
      <c r="G101" s="17">
        <v>6</v>
      </c>
      <c r="H101" s="212">
        <f>E101*F101*G101</f>
        <v>3000</v>
      </c>
      <c r="I101" s="276"/>
    </row>
    <row r="102" spans="1:9" x14ac:dyDescent="0.25">
      <c r="A102" s="154">
        <v>161</v>
      </c>
      <c r="B102" s="200" t="s">
        <v>179</v>
      </c>
      <c r="C102" s="177"/>
      <c r="D102" s="210"/>
      <c r="E102" s="211"/>
      <c r="F102" s="211"/>
      <c r="G102" s="211"/>
      <c r="H102" s="212">
        <f t="shared" ref="H102:H103" si="8">E102*F102*G102</f>
        <v>0</v>
      </c>
      <c r="I102" s="276"/>
    </row>
    <row r="103" spans="1:9" ht="13.8" thickBot="1" x14ac:dyDescent="0.3">
      <c r="A103" s="154">
        <v>162</v>
      </c>
      <c r="B103" s="200" t="s">
        <v>102</v>
      </c>
      <c r="C103" s="177"/>
      <c r="D103" s="210"/>
      <c r="E103" s="211"/>
      <c r="F103" s="211"/>
      <c r="G103" s="211"/>
      <c r="H103" s="212">
        <f t="shared" si="8"/>
        <v>0</v>
      </c>
      <c r="I103" s="276"/>
    </row>
    <row r="104" spans="1:9" ht="13.8" thickBot="1" x14ac:dyDescent="0.3">
      <c r="B104" s="172"/>
      <c r="C104" s="215" t="s">
        <v>103</v>
      </c>
      <c r="D104" s="243"/>
      <c r="E104" s="217"/>
      <c r="F104" s="217"/>
      <c r="G104" s="217"/>
      <c r="H104" s="218">
        <f>SUM(H99:H103)</f>
        <v>3000</v>
      </c>
      <c r="I104" s="273"/>
    </row>
    <row r="105" spans="1:9" hidden="1" x14ac:dyDescent="0.25">
      <c r="B105" s="172"/>
      <c r="D105" s="210"/>
      <c r="E105" s="211"/>
      <c r="F105" s="211"/>
      <c r="G105" s="211"/>
      <c r="H105" s="212"/>
      <c r="I105" s="276"/>
    </row>
    <row r="106" spans="1:9" x14ac:dyDescent="0.25">
      <c r="B106" s="200"/>
      <c r="C106" s="165" t="s">
        <v>104</v>
      </c>
      <c r="D106" s="210"/>
      <c r="E106" s="211"/>
      <c r="F106" s="211"/>
      <c r="G106" s="211"/>
      <c r="H106" s="212"/>
      <c r="I106" s="276"/>
    </row>
    <row r="107" spans="1:9" x14ac:dyDescent="0.25">
      <c r="A107" s="154">
        <v>173</v>
      </c>
      <c r="B107" s="172" t="s">
        <v>105</v>
      </c>
      <c r="C107" s="177"/>
      <c r="D107" s="210"/>
      <c r="E107" s="211"/>
      <c r="F107" s="211"/>
      <c r="G107" s="211"/>
      <c r="H107" s="212">
        <f t="shared" ref="H107:H108" si="9">E107*F107*G107</f>
        <v>0</v>
      </c>
      <c r="I107" s="276"/>
    </row>
    <row r="108" spans="1:9" x14ac:dyDescent="0.25">
      <c r="A108" s="154">
        <v>174</v>
      </c>
      <c r="B108" s="172" t="s">
        <v>106</v>
      </c>
      <c r="C108" s="177"/>
      <c r="D108" s="210"/>
      <c r="E108" s="211"/>
      <c r="F108" s="211"/>
      <c r="G108" s="211"/>
      <c r="H108" s="212">
        <f t="shared" si="9"/>
        <v>0</v>
      </c>
      <c r="I108" s="276"/>
    </row>
    <row r="109" spans="1:9" ht="13.8" hidden="1" thickBot="1" x14ac:dyDescent="0.3">
      <c r="A109" s="154">
        <v>174</v>
      </c>
      <c r="B109" s="172"/>
      <c r="C109" s="245" t="s">
        <v>107</v>
      </c>
      <c r="D109" s="246"/>
      <c r="E109" s="217"/>
      <c r="F109" s="217"/>
      <c r="G109" s="217"/>
      <c r="H109" s="218">
        <f>SUM(H107:H108)</f>
        <v>0</v>
      </c>
      <c r="I109" s="273"/>
    </row>
    <row r="110" spans="1:9" hidden="1" x14ac:dyDescent="0.25">
      <c r="B110" s="172"/>
      <c r="D110" s="210"/>
      <c r="E110" s="211"/>
      <c r="F110" s="211"/>
      <c r="G110" s="211"/>
      <c r="H110" s="212"/>
      <c r="I110" s="276"/>
    </row>
    <row r="111" spans="1:9" x14ac:dyDescent="0.25">
      <c r="B111" s="200"/>
      <c r="C111" s="165" t="s">
        <v>108</v>
      </c>
      <c r="D111" s="210"/>
      <c r="E111" s="211"/>
      <c r="F111" s="211"/>
      <c r="G111" s="211"/>
      <c r="H111" s="212"/>
      <c r="I111" s="276"/>
    </row>
    <row r="112" spans="1:9" x14ac:dyDescent="0.25">
      <c r="A112" s="154">
        <v>183</v>
      </c>
      <c r="B112" s="172" t="s">
        <v>180</v>
      </c>
      <c r="C112" s="177" t="s">
        <v>210</v>
      </c>
      <c r="D112" s="210" t="s">
        <v>60</v>
      </c>
      <c r="E112" s="214">
        <v>1</v>
      </c>
      <c r="F112" s="211">
        <v>50</v>
      </c>
      <c r="G112" s="211">
        <v>6</v>
      </c>
      <c r="H112" s="212">
        <f t="shared" ref="H112:H114" si="10">E112*F112*G112</f>
        <v>300</v>
      </c>
      <c r="I112" s="276" t="s">
        <v>211</v>
      </c>
    </row>
    <row r="113" spans="1:9" x14ac:dyDescent="0.25">
      <c r="A113" s="154">
        <v>185</v>
      </c>
      <c r="B113" s="172" t="s">
        <v>109</v>
      </c>
      <c r="C113" s="177"/>
      <c r="D113" s="210"/>
      <c r="E113" s="211"/>
      <c r="F113" s="211"/>
      <c r="G113" s="211"/>
      <c r="H113" s="212">
        <f t="shared" si="10"/>
        <v>0</v>
      </c>
      <c r="I113" s="276"/>
    </row>
    <row r="114" spans="1:9" ht="13.8" thickBot="1" x14ac:dyDescent="0.3">
      <c r="A114" s="154">
        <v>186</v>
      </c>
      <c r="B114" s="172" t="s">
        <v>110</v>
      </c>
      <c r="C114" s="177"/>
      <c r="D114" s="210"/>
      <c r="E114" s="211"/>
      <c r="F114" s="211"/>
      <c r="G114" s="211"/>
      <c r="H114" s="212">
        <f t="shared" si="10"/>
        <v>0</v>
      </c>
      <c r="I114" s="276"/>
    </row>
    <row r="115" spans="1:9" ht="13.8" hidden="1" thickBot="1" x14ac:dyDescent="0.3">
      <c r="A115" s="154">
        <v>186</v>
      </c>
      <c r="B115" s="200"/>
      <c r="C115" s="215" t="s">
        <v>111</v>
      </c>
      <c r="D115" s="243"/>
      <c r="E115" s="217"/>
      <c r="F115" s="217"/>
      <c r="G115" s="217"/>
      <c r="H115" s="218">
        <f>SUM(H112:H114)</f>
        <v>300</v>
      </c>
      <c r="I115" s="273"/>
    </row>
    <row r="116" spans="1:9" ht="13.8" hidden="1" thickBot="1" x14ac:dyDescent="0.3">
      <c r="B116" s="200"/>
      <c r="D116" s="247"/>
      <c r="E116" s="248"/>
      <c r="F116" s="248"/>
      <c r="G116" s="248"/>
      <c r="H116" s="249"/>
      <c r="I116" s="276"/>
    </row>
    <row r="117" spans="1:9" ht="13.8" thickBot="1" x14ac:dyDescent="0.3">
      <c r="B117" s="200"/>
      <c r="C117" s="203" t="s">
        <v>36</v>
      </c>
      <c r="D117" s="232"/>
      <c r="E117" s="205"/>
      <c r="F117" s="205"/>
      <c r="G117" s="205"/>
      <c r="H117" s="206">
        <f>SUM(H115,H109,H104,H95,H90,H85)</f>
        <v>6000</v>
      </c>
      <c r="I117" s="273"/>
    </row>
    <row r="118" spans="1:9" ht="13.8" thickBot="1" x14ac:dyDescent="0.3">
      <c r="B118" s="200"/>
      <c r="C118" s="220"/>
      <c r="D118" s="250"/>
      <c r="E118" s="251"/>
      <c r="F118" s="251"/>
      <c r="G118" s="251"/>
      <c r="H118" s="252"/>
      <c r="I118" s="276"/>
    </row>
    <row r="119" spans="1:9" ht="13.8" thickBot="1" x14ac:dyDescent="0.3">
      <c r="B119" s="200"/>
      <c r="C119" s="253" t="s">
        <v>112</v>
      </c>
      <c r="D119" s="254"/>
      <c r="E119" s="255"/>
      <c r="F119" s="255"/>
      <c r="G119" s="255"/>
      <c r="H119" s="256">
        <f>SUM(H117,H77)</f>
        <v>58999</v>
      </c>
      <c r="I119" s="273"/>
    </row>
    <row r="120" spans="1:9" x14ac:dyDescent="0.25">
      <c r="B120" s="200"/>
      <c r="D120" s="257"/>
      <c r="E120" s="258"/>
      <c r="F120" s="258"/>
      <c r="G120" s="258"/>
      <c r="H120" s="212"/>
      <c r="I120" s="276"/>
    </row>
    <row r="121" spans="1:9" x14ac:dyDescent="0.25">
      <c r="B121" s="200"/>
      <c r="C121" s="165" t="s">
        <v>113</v>
      </c>
      <c r="D121" s="257"/>
      <c r="E121" s="258"/>
      <c r="F121" s="258"/>
      <c r="G121" s="258"/>
      <c r="H121" s="212"/>
      <c r="I121" s="276"/>
    </row>
    <row r="122" spans="1:9" x14ac:dyDescent="0.25">
      <c r="A122" s="154">
        <v>201</v>
      </c>
      <c r="B122" s="200" t="s">
        <v>114</v>
      </c>
      <c r="C122" s="177"/>
      <c r="D122" s="257"/>
      <c r="E122" s="258"/>
      <c r="F122" s="258"/>
      <c r="G122" s="258"/>
      <c r="H122" s="212">
        <f t="shared" ref="H122:H131" si="11">E122*F122*G122</f>
        <v>0</v>
      </c>
      <c r="I122" s="276"/>
    </row>
    <row r="123" spans="1:9" x14ac:dyDescent="0.25">
      <c r="A123" s="154">
        <v>202</v>
      </c>
      <c r="B123" s="200" t="s">
        <v>115</v>
      </c>
      <c r="C123" s="177"/>
      <c r="D123" s="257"/>
      <c r="E123" s="258"/>
      <c r="F123" s="258"/>
      <c r="G123" s="258"/>
      <c r="H123" s="212">
        <f t="shared" si="11"/>
        <v>0</v>
      </c>
      <c r="I123" s="276"/>
    </row>
    <row r="124" spans="1:9" ht="13.8" thickBot="1" x14ac:dyDescent="0.3">
      <c r="A124" s="154">
        <v>203</v>
      </c>
      <c r="B124" s="200" t="s">
        <v>116</v>
      </c>
      <c r="C124" s="177"/>
      <c r="D124" s="257"/>
      <c r="E124" s="258"/>
      <c r="F124" s="258"/>
      <c r="G124" s="258"/>
      <c r="H124" s="212">
        <f t="shared" si="11"/>
        <v>0</v>
      </c>
      <c r="I124" s="276"/>
    </row>
    <row r="125" spans="1:9" ht="13.8" hidden="1" thickBot="1" x14ac:dyDescent="0.3">
      <c r="A125" s="154">
        <v>203</v>
      </c>
      <c r="B125" s="200" t="s">
        <v>117</v>
      </c>
      <c r="C125" s="177"/>
      <c r="D125" s="257"/>
      <c r="E125" s="258"/>
      <c r="F125" s="258"/>
      <c r="G125" s="258"/>
      <c r="H125" s="212">
        <f t="shared" si="11"/>
        <v>0</v>
      </c>
      <c r="I125" s="276"/>
    </row>
    <row r="126" spans="1:9" ht="13.8" hidden="1" thickBot="1" x14ac:dyDescent="0.3">
      <c r="A126" s="154">
        <v>204</v>
      </c>
      <c r="B126" s="200" t="s">
        <v>118</v>
      </c>
      <c r="C126" s="177"/>
      <c r="D126" s="257"/>
      <c r="E126" s="258"/>
      <c r="F126" s="258"/>
      <c r="G126" s="258"/>
      <c r="H126" s="212">
        <f t="shared" si="11"/>
        <v>0</v>
      </c>
      <c r="I126" s="276"/>
    </row>
    <row r="127" spans="1:9" ht="13.8" hidden="1" thickBot="1" x14ac:dyDescent="0.3">
      <c r="A127" s="154">
        <v>205</v>
      </c>
      <c r="B127" s="200" t="s">
        <v>119</v>
      </c>
      <c r="C127" s="177"/>
      <c r="D127" s="257"/>
      <c r="E127" s="258"/>
      <c r="F127" s="258"/>
      <c r="G127" s="258"/>
      <c r="H127" s="212">
        <f t="shared" si="11"/>
        <v>0</v>
      </c>
      <c r="I127" s="276"/>
    </row>
    <row r="128" spans="1:9" ht="13.8" hidden="1" thickBot="1" x14ac:dyDescent="0.3">
      <c r="A128" s="154">
        <v>206</v>
      </c>
      <c r="B128" s="200" t="s">
        <v>120</v>
      </c>
      <c r="C128" s="177"/>
      <c r="D128" s="257"/>
      <c r="E128" s="258"/>
      <c r="F128" s="258"/>
      <c r="G128" s="258"/>
      <c r="H128" s="212">
        <f t="shared" si="11"/>
        <v>0</v>
      </c>
      <c r="I128" s="276"/>
    </row>
    <row r="129" spans="1:9" ht="13.8" hidden="1" thickBot="1" x14ac:dyDescent="0.3">
      <c r="A129" s="154">
        <v>207</v>
      </c>
      <c r="B129" s="200" t="s">
        <v>121</v>
      </c>
      <c r="C129" s="177"/>
      <c r="D129" s="257"/>
      <c r="E129" s="258"/>
      <c r="F129" s="258"/>
      <c r="G129" s="258"/>
      <c r="H129" s="212">
        <f t="shared" si="11"/>
        <v>0</v>
      </c>
      <c r="I129" s="276"/>
    </row>
    <row r="130" spans="1:9" ht="13.8" hidden="1" thickBot="1" x14ac:dyDescent="0.3">
      <c r="A130" s="154">
        <v>208</v>
      </c>
      <c r="B130" s="200" t="s">
        <v>122</v>
      </c>
      <c r="C130" s="177"/>
      <c r="D130" s="257"/>
      <c r="E130" s="258"/>
      <c r="F130" s="258"/>
      <c r="G130" s="258"/>
      <c r="H130" s="212">
        <f t="shared" si="11"/>
        <v>0</v>
      </c>
      <c r="I130" s="276"/>
    </row>
    <row r="131" spans="1:9" ht="13.8" hidden="1" thickBot="1" x14ac:dyDescent="0.3">
      <c r="A131" s="154">
        <v>209</v>
      </c>
      <c r="B131" s="200" t="s">
        <v>123</v>
      </c>
      <c r="C131" s="177"/>
      <c r="D131" s="257"/>
      <c r="E131" s="258"/>
      <c r="F131" s="258"/>
      <c r="G131" s="258"/>
      <c r="H131" s="212">
        <f t="shared" si="11"/>
        <v>0</v>
      </c>
      <c r="I131" s="276"/>
    </row>
    <row r="132" spans="1:9" ht="13.8" hidden="1" thickBot="1" x14ac:dyDescent="0.3">
      <c r="A132" s="154">
        <v>210</v>
      </c>
      <c r="B132" s="200"/>
      <c r="C132" s="259" t="s">
        <v>124</v>
      </c>
      <c r="D132" s="260"/>
      <c r="E132" s="261"/>
      <c r="F132" s="261"/>
      <c r="G132" s="261"/>
      <c r="H132" s="206">
        <f>SUM(H122:H131)</f>
        <v>0</v>
      </c>
      <c r="I132" s="273"/>
    </row>
    <row r="133" spans="1:9" ht="13.8" hidden="1" thickBot="1" x14ac:dyDescent="0.3">
      <c r="B133" s="200"/>
      <c r="D133" s="257"/>
      <c r="E133" s="258"/>
      <c r="F133" s="258"/>
      <c r="G133" s="258"/>
      <c r="H133" s="212"/>
      <c r="I133" s="277"/>
    </row>
    <row r="134" spans="1:9" ht="13.8" thickBot="1" x14ac:dyDescent="0.3">
      <c r="B134" s="262" t="s">
        <v>125</v>
      </c>
      <c r="C134" s="263"/>
      <c r="D134" s="264"/>
      <c r="E134" s="265"/>
      <c r="F134" s="265"/>
      <c r="G134" s="265"/>
      <c r="H134" s="266">
        <f>+H119+H132</f>
        <v>58999</v>
      </c>
      <c r="I134" s="273"/>
    </row>
    <row r="135" spans="1:9" s="165" customFormat="1" ht="13.8" thickBot="1" x14ac:dyDescent="0.3">
      <c r="B135" s="154"/>
      <c r="C135" s="154"/>
      <c r="D135" s="267"/>
      <c r="E135" s="268"/>
      <c r="F135" s="268"/>
      <c r="G135" s="268"/>
      <c r="H135" s="268"/>
      <c r="I135" s="154"/>
    </row>
    <row r="136" spans="1:9" ht="13.8" thickBot="1" x14ac:dyDescent="0.3">
      <c r="B136" s="269" t="s">
        <v>40</v>
      </c>
      <c r="C136" s="270"/>
      <c r="D136" s="271"/>
      <c r="E136" s="271"/>
      <c r="F136" s="271"/>
      <c r="G136" s="117"/>
      <c r="H136" s="118"/>
    </row>
    <row r="137" spans="1:9" x14ac:dyDescent="0.25">
      <c r="D137" s="267"/>
      <c r="E137" s="268"/>
      <c r="F137" s="268"/>
      <c r="G137" s="268"/>
      <c r="H137" s="268"/>
    </row>
  </sheetData>
  <phoneticPr fontId="22" type="noConversion"/>
  <pageMargins left="0.25" right="0.25" top="0.75" bottom="0.75" header="0.3" footer="0.3"/>
  <pageSetup paperSize="9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8b7253-0a8c-40a9-880e-ba9c1071c663" xsi:nil="true"/>
    <lcf76f155ced4ddcb4097134ff3c332f xmlns="4f9cef64-b715-4ca9-84ed-472feec449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A34146B6B6E46989C2189CBE4B706" ma:contentTypeVersion="17" ma:contentTypeDescription="Create a new document." ma:contentTypeScope="" ma:versionID="fcb116f6cf738f72e26a39051182db87">
  <xsd:schema xmlns:xsd="http://www.w3.org/2001/XMLSchema" xmlns:xs="http://www.w3.org/2001/XMLSchema" xmlns:p="http://schemas.microsoft.com/office/2006/metadata/properties" xmlns:ns2="4f9cef64-b715-4ca9-84ed-472feec4490b" xmlns:ns3="088b7253-0a8c-40a9-880e-ba9c1071c663" targetNamespace="http://schemas.microsoft.com/office/2006/metadata/properties" ma:root="true" ma:fieldsID="1f1bd7812dbf5529b69cc92a2c73c2ee" ns2:_="" ns3:_="">
    <xsd:import namespace="4f9cef64-b715-4ca9-84ed-472feec4490b"/>
    <xsd:import namespace="088b7253-0a8c-40a9-880e-ba9c1071c6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ef64-b715-4ca9-84ed-472feec449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dec5bad-9f26-4bfd-990f-9b59f6a46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b7253-0a8c-40a9-880e-ba9c1071c6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fe0cd78-9b87-4c9c-9f7e-3ab1ad4dc4ef}" ma:internalName="TaxCatchAll" ma:showField="CatchAllData" ma:web="088b7253-0a8c-40a9-880e-ba9c1071c6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A01C98-8649-44C3-BD6F-1A1A27A61404}">
  <ds:schemaRefs>
    <ds:schemaRef ds:uri="http://schemas.microsoft.com/office/2006/metadata/properties"/>
    <ds:schemaRef ds:uri="http://schemas.microsoft.com/office/infopath/2007/PartnerControls"/>
    <ds:schemaRef ds:uri="088b7253-0a8c-40a9-880e-ba9c1071c663"/>
    <ds:schemaRef ds:uri="4f9cef64-b715-4ca9-84ed-472feec4490b"/>
  </ds:schemaRefs>
</ds:datastoreItem>
</file>

<file path=customXml/itemProps2.xml><?xml version="1.0" encoding="utf-8"?>
<ds:datastoreItem xmlns:ds="http://schemas.openxmlformats.org/officeDocument/2006/customXml" ds:itemID="{DA3957AF-3BBB-457F-9292-4977A1F1F3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B39627-8477-4E60-BABB-88FBA1909F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9cef64-b715-4ca9-84ed-472feec4490b"/>
    <ds:schemaRef ds:uri="088b7253-0a8c-40a9-880e-ba9c1071c6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XXXX</vt:lpstr>
      <vt:lpstr>XXXXX</vt:lpstr>
      <vt:lpstr>XXXXFinRep</vt:lpstr>
      <vt:lpstr>REQ ZG UMCOR 4 _RU</vt:lpstr>
      <vt:lpstr>XXXXFinRep!Заголовки_для_печати</vt:lpstr>
      <vt:lpstr>XXXX!Область_печати</vt:lpstr>
      <vt:lpstr>XXXXFinRep!Область_печати</vt:lpstr>
      <vt:lpstr>XXXXX!Область_печати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ppening</dc:creator>
  <cp:keywords/>
  <dc:description/>
  <cp:lastModifiedBy>User</cp:lastModifiedBy>
  <cp:revision/>
  <cp:lastPrinted>2025-06-27T08:13:29Z</cp:lastPrinted>
  <dcterms:created xsi:type="dcterms:W3CDTF">2007-03-14T13:15:41Z</dcterms:created>
  <dcterms:modified xsi:type="dcterms:W3CDTF">2026-01-05T14:03:08Z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0x0101000ACA34146B6B6E46989C2189CBE4B706</vt:lpwstr>
  </property>
  <property fmtid="{D5CDD505-2E9C-101B-9397-08002B2CF9AE}" pid="3" name="MediaServiceImageTags">
    <vt:lpwstr/>
  </property>
  <property fmtid="{D5CDD505-2E9C-101B-9397-08002B2CF9AE}" pid="4" name="Jet Reports Function Literals">
    <vt:lpwstr>,	;	,	{	}	[@[{0}]]	1033	1033</vt:lpwstr>
  </property>
</Properties>
</file>